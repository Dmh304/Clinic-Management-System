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Doctor_Dashboard" sheetId="4" state="visible" r:id="rId4"/>
    <sheet xmlns:r="http://schemas.openxmlformats.org/officeDocument/2006/relationships" name="EMR_Management" sheetId="5" state="visible" r:id="rId5"/>
    <sheet xmlns:r="http://schemas.openxmlformats.org/officeDocument/2006/relationships" name="View_Visit_History" sheetId="6" state="visible" r:id="rId6"/>
    <sheet xmlns:r="http://schemas.openxmlformats.org/officeDocument/2006/relationships" name="View_Lab_Results" sheetId="7" state="visible" r:id="rId7"/>
    <sheet xmlns:r="http://schemas.openxmlformats.org/officeDocument/2006/relationships" name="Review_Submitted_Lab_Results" sheetId="8" state="visible" r:id="rId8"/>
    <sheet xmlns:r="http://schemas.openxmlformats.org/officeDocument/2006/relationships" name="Issue_Lab_Order" sheetId="9" state="visible" r:id="rId9"/>
    <sheet xmlns:r="http://schemas.openxmlformats.org/officeDocument/2006/relationships" name="Submit_Lab_Results" sheetId="10" state="visible" r:id="rId10"/>
    <sheet xmlns:r="http://schemas.openxmlformats.org/officeDocument/2006/relationships" name="View_Lab_Queue" sheetId="11" state="visible" r:id="rId11"/>
    <sheet xmlns:r="http://schemas.openxmlformats.org/officeDocument/2006/relationships" name="View_Diagnostic_Results" sheetId="12" state="visible" r:id="rId12"/>
    <sheet xmlns:r="http://schemas.openxmlformats.org/officeDocument/2006/relationships" name="UC-27d" sheetId="13" state="visible" r:id="rId13"/>
    <sheet xmlns:r="http://schemas.openxmlformats.org/officeDocument/2006/relationships" name="UC-38" sheetId="14" state="visible" r:id="rId14"/>
    <sheet xmlns:r="http://schemas.openxmlformats.org/officeDocument/2006/relationships" name="UC-55" sheetId="15" state="visible" r:id="rId15"/>
    <sheet xmlns:r="http://schemas.openxmlformats.org/officeDocument/2006/relationships" name="UC-56" sheetId="16" state="visible" r:id="rId16"/>
  </sheets>
  <definedNames>
    <definedName name="ACTION">#REF!</definedName>
    <definedName name="ACTION" localSheetId="0">#REF!</definedName>
  </definedNames>
  <calcPr calcId="124519" fullCalcOnLoad="1"/>
</workbook>
</file>

<file path=xl/styles.xml><?xml version="1.0" encoding="utf-8"?>
<styleSheet xmlns="http://schemas.openxmlformats.org/spreadsheetml/2006/main">
  <numFmts count="0"/>
  <fonts count="22">
    <font>
      <name val="MS PGothic"/>
      <color rgb="FF000000"/>
      <sz val="11"/>
      <scheme val="minor"/>
    </font>
    <font>
      <name val="Tahoma"/>
      <color theme="1"/>
      <sz val="10"/>
    </font>
    <font>
      <name val="Tahoma"/>
      <b val="1"/>
      <color rgb="FFFF0000"/>
      <sz val="26"/>
    </font>
    <font>
      <name val="Tahoma"/>
      <b val="1"/>
      <color rgb="FF000000"/>
      <sz val="20"/>
    </font>
    <font/>
    <font>
      <name val="Tahoma"/>
      <b val="1"/>
      <color rgb="FF993300"/>
      <sz val="10"/>
    </font>
    <font>
      <name val="Tahoma"/>
      <i val="1"/>
      <color rgb="FF008000"/>
      <sz val="10"/>
    </font>
    <font>
      <name val="Tahoma"/>
      <b val="1"/>
      <color theme="1"/>
      <sz val="10"/>
    </font>
    <font>
      <name val="Tahoma"/>
      <i val="1"/>
      <color theme="1"/>
      <sz val="10"/>
    </font>
    <font>
      <name val="Tahoma"/>
      <b val="1"/>
      <color rgb="FFFFFFFF"/>
      <sz val="10"/>
    </font>
    <font>
      <name val="MS PGothic"/>
      <color rgb="FF000000"/>
      <sz val="11"/>
    </font>
    <font>
      <name val="Tahoma"/>
      <b val="1"/>
      <color rgb="FF000000"/>
      <sz val="10"/>
    </font>
    <font>
      <name val="Tahoma"/>
      <b val="1"/>
      <color rgb="FFFF0000"/>
      <sz val="10"/>
    </font>
    <font>
      <name val="MS PGothic"/>
      <color theme="10"/>
      <sz val="11"/>
      <u val="single"/>
    </font>
    <font>
      <name val="Tahoma"/>
      <color rgb="FF0000FF"/>
      <sz val="10"/>
      <u val="single"/>
    </font>
    <font>
      <name val="Tahoma"/>
      <color rgb="FFFFFFFF"/>
      <sz val="10"/>
    </font>
    <font>
      <name val="Tahoma"/>
      <b val="1"/>
      <color rgb="FF0000FF"/>
      <sz val="10"/>
    </font>
    <font>
      <name val="Tahoma"/>
      <color rgb="FF000000"/>
      <sz val="10"/>
    </font>
    <font>
      <name val="Tahoma"/>
      <color rgb="FFFF0000"/>
      <sz val="10"/>
    </font>
    <font>
      <name val="Tahoma"/>
      <b val="1"/>
      <i val="1"/>
      <color theme="1"/>
      <sz val="10"/>
    </font>
    <font>
      <name val="Quattrocento Sans"/>
      <color theme="1"/>
      <sz val="10"/>
    </font>
    <font>
      <b val="1"/>
      <color rgb="00FFFFFF"/>
    </font>
  </fonts>
  <fills count="9">
    <fill>
      <patternFill/>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
      <patternFill patternType="solid">
        <fgColor rgb="FFF2F6FA"/>
        <bgColor rgb="FFF2F6FA"/>
      </patternFill>
    </fill>
    <fill>
      <patternFill patternType="solid">
        <fgColor rgb="004F81BD"/>
      </patternFill>
    </fill>
  </fills>
  <borders count="5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hair">
        <color rgb="FF000000"/>
      </left>
      <right/>
      <top style="thin">
        <color rgb="FF000000"/>
      </top>
      <bottom style="hair">
        <color rgb="FF000000"/>
      </bottom>
    </border>
    <border>
      <left/>
      <top/>
      <bottom/>
    </border>
    <border>
      <top/>
      <bottom/>
    </border>
    <border>
      <right/>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hair">
        <color rgb="FF000000"/>
      </left>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D3D3D3"/>
      </left>
      <right style="thin">
        <color rgb="FFD3D3D3"/>
      </right>
      <top style="thin">
        <color rgb="FFD3D3D3"/>
      </top>
      <bottom style="thin">
        <color rgb="FFD3D3D3"/>
      </bottom>
    </border>
    <border>
      <top style="thin">
        <color rgb="FF000000"/>
      </top>
    </border>
    <border>
      <right style="thin">
        <color rgb="FF000000"/>
      </right>
      <top style="thin">
        <color rgb="FF000000"/>
      </top>
    </border>
    <border>
      <left style="thin">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
      <right style="medium">
        <color rgb="FF000000"/>
      </right>
      <top style="thin">
        <color rgb="FF000000"/>
      </top>
    </border>
    <border>
      <left style="thin"/>
      <right style="thin"/>
      <top style="thin"/>
      <bottom style="thin"/>
    </border>
  </borders>
  <cellStyleXfs count="1">
    <xf numFmtId="0" fontId="0" fillId="0" borderId="0"/>
  </cellStyleXfs>
  <cellXfs count="181">
    <xf numFmtId="0" fontId="0" fillId="0" borderId="0" applyAlignment="1" pivotButton="0" quotePrefix="0" xfId="0">
      <alignment vertical="bottom"/>
    </xf>
    <xf numFmtId="0" fontId="1" fillId="0" borderId="0" applyAlignment="1" pivotButton="0" quotePrefix="0" xfId="0">
      <alignment horizontal="left"/>
    </xf>
    <xf numFmtId="0" fontId="1" fillId="0" borderId="0" pivotButton="0" quotePrefix="0" xfId="0"/>
    <xf numFmtId="0" fontId="1" fillId="0" borderId="0" applyAlignment="1" pivotButton="0" quotePrefix="0" xfId="0">
      <alignment wrapText="1"/>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4" fillId="0" borderId="2" pivotButton="0" quotePrefix="0" xfId="0"/>
    <xf numFmtId="0" fontId="4" fillId="0" borderId="3" pivotButton="0" quotePrefix="0" xfId="0"/>
    <xf numFmtId="0" fontId="1" fillId="0" borderId="0" applyAlignment="1" pivotButton="0" quotePrefix="0" xfId="0">
      <alignment horizontal="center" vertical="center"/>
    </xf>
    <xf numFmtId="0" fontId="5" fillId="2" borderId="4" applyAlignment="1" pivotButton="0" quotePrefix="0" xfId="0">
      <alignment horizontal="left"/>
    </xf>
    <xf numFmtId="0" fontId="6" fillId="0" borderId="0" applyAlignment="1" pivotButton="0" quotePrefix="0" xfId="0">
      <alignment horizontal="left"/>
    </xf>
    <xf numFmtId="0" fontId="1" fillId="2" borderId="4" applyAlignment="1" pivotButton="0" quotePrefix="0" xfId="0">
      <alignment wrapText="1"/>
    </xf>
    <xf numFmtId="0" fontId="7" fillId="2" borderId="5" applyAlignment="1" pivotButton="0" quotePrefix="0" xfId="0">
      <alignment horizontal="left"/>
    </xf>
    <xf numFmtId="0" fontId="8" fillId="0" borderId="1" applyAlignment="1" pivotButton="0" quotePrefix="0" xfId="0">
      <alignment horizontal="left"/>
    </xf>
    <xf numFmtId="0" fontId="7" fillId="2" borderId="5" applyAlignment="1" pivotButton="0" quotePrefix="0" xfId="0">
      <alignment horizontal="left" wrapText="1"/>
    </xf>
    <xf numFmtId="0" fontId="1" fillId="0" borderId="3" pivotButton="0" quotePrefix="0" xfId="0"/>
    <xf numFmtId="14" fontId="8" fillId="0" borderId="3" pivotButton="0" quotePrefix="0" xfId="0"/>
    <xf numFmtId="0" fontId="7" fillId="2" borderId="5" applyAlignment="1" pivotButton="0" quotePrefix="0" xfId="0">
      <alignment vertical="center"/>
    </xf>
    <xf numFmtId="0" fontId="8" fillId="0" borderId="1" applyAlignment="1" pivotButton="0" quotePrefix="0" xfId="0">
      <alignment horizontal="left" vertical="center"/>
    </xf>
    <xf numFmtId="0" fontId="8" fillId="0" borderId="3" applyAlignment="1" pivotButton="0" quotePrefix="0" xfId="0">
      <alignment horizontal="left"/>
    </xf>
    <xf numFmtId="0" fontId="7" fillId="0" borderId="0" pivotButton="0" quotePrefix="0" xfId="0"/>
    <xf numFmtId="0" fontId="5" fillId="0" borderId="0" applyAlignment="1" pivotButton="0" quotePrefix="0" xfId="0">
      <alignment horizontal="left" wrapText="1"/>
    </xf>
    <xf numFmtId="0" fontId="7" fillId="0" borderId="0" applyAlignment="1" pivotButton="0" quotePrefix="0" xfId="0">
      <alignment horizontal="left"/>
    </xf>
    <xf numFmtId="15" fontId="9" fillId="3" borderId="6" applyAlignment="1" pivotButton="0" quotePrefix="0" xfId="0">
      <alignment horizontal="center" vertical="center"/>
    </xf>
    <xf numFmtId="0" fontId="9" fillId="3" borderId="7" applyAlignment="1" pivotButton="0" quotePrefix="0" xfId="0">
      <alignment horizontal="center" vertical="center"/>
    </xf>
    <xf numFmtId="0" fontId="9" fillId="3" borderId="7" applyAlignment="1" pivotButton="0" quotePrefix="0" xfId="0">
      <alignment horizontal="center" vertical="center" wrapText="1"/>
    </xf>
    <xf numFmtId="0" fontId="9" fillId="3" borderId="8" applyAlignment="1" pivotButton="0" quotePrefix="0" xfId="0">
      <alignment horizontal="center" vertical="center"/>
    </xf>
    <xf numFmtId="0" fontId="1" fillId="0" borderId="0" applyAlignment="1" pivotButton="0" quotePrefix="0" xfId="0">
      <alignment vertical="center"/>
    </xf>
    <xf numFmtId="14" fontId="8" fillId="0" borderId="9" applyAlignment="1" pivotButton="0" quotePrefix="0" xfId="0">
      <alignment vertical="top" wrapText="1"/>
    </xf>
    <xf numFmtId="49" fontId="1" fillId="0" borderId="10" applyAlignment="1" pivotButton="0" quotePrefix="0" xfId="0">
      <alignment vertical="top"/>
    </xf>
    <xf numFmtId="0" fontId="1" fillId="0" borderId="10" applyAlignment="1" pivotButton="0" quotePrefix="0" xfId="0">
      <alignment vertical="top"/>
    </xf>
    <xf numFmtId="15" fontId="1" fillId="0" borderId="10" applyAlignment="1" pivotButton="0" quotePrefix="0" xfId="0">
      <alignment vertical="top" wrapText="1"/>
    </xf>
    <xf numFmtId="0" fontId="8" fillId="0" borderId="11" applyAlignment="1" pivotButton="0" quotePrefix="0" xfId="0">
      <alignment vertical="top" wrapText="1"/>
    </xf>
    <xf numFmtId="0" fontId="1" fillId="0" borderId="0" applyAlignment="1" pivotButton="0" quotePrefix="0" xfId="0">
      <alignment vertical="top"/>
    </xf>
    <xf numFmtId="15" fontId="1" fillId="0" borderId="9" applyAlignment="1" pivotButton="0" quotePrefix="0" xfId="0">
      <alignment vertical="top"/>
    </xf>
    <xf numFmtId="49" fontId="1" fillId="0" borderId="10" applyAlignment="1" pivotButton="0" quotePrefix="0" xfId="0">
      <alignment vertical="top"/>
    </xf>
    <xf numFmtId="0" fontId="1" fillId="0" borderId="10" applyAlignment="1" pivotButton="0" quotePrefix="0" xfId="0">
      <alignment vertical="top"/>
    </xf>
    <xf numFmtId="0" fontId="1" fillId="0" borderId="10" applyAlignment="1" pivotButton="0" quotePrefix="0" xfId="0">
      <alignment vertical="top" wrapText="1"/>
    </xf>
    <xf numFmtId="15" fontId="1" fillId="0" borderId="9" applyAlignment="1" pivotButton="0" quotePrefix="0" xfId="0">
      <alignment vertical="top"/>
    </xf>
    <xf numFmtId="0" fontId="1" fillId="0" borderId="11" applyAlignment="1" pivotButton="0" quotePrefix="0" xfId="0">
      <alignment vertical="top"/>
    </xf>
    <xf numFmtId="15" fontId="1" fillId="0" borderId="12" applyAlignment="1" pivotButton="0" quotePrefix="0" xfId="0">
      <alignment vertical="top"/>
    </xf>
    <xf numFmtId="49" fontId="1" fillId="0" borderId="13" applyAlignment="1" pivotButton="0" quotePrefix="0" xfId="0">
      <alignment vertical="top"/>
    </xf>
    <xf numFmtId="0" fontId="1" fillId="0" borderId="13" applyAlignment="1" pivotButton="0" quotePrefix="0" xfId="0">
      <alignment vertical="top"/>
    </xf>
    <xf numFmtId="0" fontId="1" fillId="0" borderId="13" applyAlignment="1" pivotButton="0" quotePrefix="0" xfId="0">
      <alignment vertical="top" wrapText="1"/>
    </xf>
    <xf numFmtId="0" fontId="1" fillId="0" borderId="14" applyAlignment="1" pivotButton="0" quotePrefix="0" xfId="0">
      <alignment vertical="top"/>
    </xf>
    <xf numFmtId="0" fontId="10" fillId="0" borderId="0" applyAlignment="1" pivotButton="0" quotePrefix="0" xfId="0">
      <alignment wrapText="1"/>
    </xf>
    <xf numFmtId="0" fontId="1" fillId="2" borderId="4" pivotButton="0" quotePrefix="0" xfId="0"/>
    <xf numFmtId="1" fontId="1" fillId="2" borderId="4" pivotButton="0" quotePrefix="0" xfId="0"/>
    <xf numFmtId="0" fontId="1" fillId="2" borderId="4" applyAlignment="1" pivotButton="0" quotePrefix="0" xfId="0">
      <alignment horizontal="left"/>
    </xf>
    <xf numFmtId="0" fontId="3" fillId="2" borderId="4" applyAlignment="1" pivotButton="0" quotePrefix="0" xfId="0">
      <alignment horizontal="left"/>
    </xf>
    <xf numFmtId="0" fontId="11" fillId="2" borderId="4" applyAlignment="1" pivotButton="0" quotePrefix="0" xfId="0">
      <alignment horizontal="left" wrapText="1"/>
    </xf>
    <xf numFmtId="0" fontId="1" fillId="2" borderId="4" applyAlignment="1" pivotButton="0" quotePrefix="0" xfId="0">
      <alignment horizontal="left" wrapText="1"/>
    </xf>
    <xf numFmtId="0" fontId="12" fillId="2" borderId="4" applyAlignment="1" pivotButton="0" quotePrefix="0" xfId="0">
      <alignment horizontal="left"/>
    </xf>
    <xf numFmtId="0" fontId="12" fillId="2" borderId="4" applyAlignment="1" pivotButton="0" quotePrefix="0" xfId="0">
      <alignment horizontal="left" wrapText="1"/>
    </xf>
    <xf numFmtId="1" fontId="5" fillId="2" borderId="1" pivotButton="0" quotePrefix="0" xfId="0"/>
    <xf numFmtId="0" fontId="4" fillId="0" borderId="15" pivotButton="0" quotePrefix="0" xfId="0"/>
    <xf numFmtId="0" fontId="6" fillId="2" borderId="1" applyAlignment="1" pivotButton="0" quotePrefix="0" xfId="0">
      <alignment horizontal="left"/>
    </xf>
    <xf numFmtId="1" fontId="5" fillId="2" borderId="1" applyAlignment="1" pivotButton="0" quotePrefix="0" xfId="0">
      <alignment vertical="center" wrapText="1"/>
    </xf>
    <xf numFmtId="0" fontId="6" fillId="2" borderId="1" applyAlignment="1" pivotButton="0" quotePrefix="0" xfId="0">
      <alignment vertical="top" wrapText="1"/>
    </xf>
    <xf numFmtId="1" fontId="5" fillId="2" borderId="4" pivotButton="0" quotePrefix="0" xfId="0"/>
    <xf numFmtId="0" fontId="1" fillId="2" borderId="4" applyAlignment="1" pivotButton="0" quotePrefix="0" xfId="0">
      <alignment vertical="center"/>
    </xf>
    <xf numFmtId="1" fontId="1" fillId="2" borderId="4" applyAlignment="1" pivotButton="0" quotePrefix="0" xfId="0">
      <alignment vertical="center"/>
    </xf>
    <xf numFmtId="0" fontId="1" fillId="2" borderId="4" applyAlignment="1" pivotButton="0" quotePrefix="0" xfId="0">
      <alignment horizontal="left" vertical="center"/>
    </xf>
    <xf numFmtId="0" fontId="1" fillId="2" borderId="4" applyAlignment="1" pivotButton="0" quotePrefix="0" xfId="0">
      <alignment horizontal="left" vertical="center" wrapText="1"/>
    </xf>
    <xf numFmtId="0" fontId="7" fillId="2" borderId="4" applyAlignment="1" pivotButton="0" quotePrefix="0" xfId="0">
      <alignment horizontal="center"/>
    </xf>
    <xf numFmtId="1" fontId="9" fillId="4" borderId="6" applyAlignment="1" pivotButton="0" quotePrefix="0" xfId="0">
      <alignment horizontal="center" vertical="center"/>
    </xf>
    <xf numFmtId="0" fontId="9" fillId="4" borderId="7" applyAlignment="1" pivotButton="0" quotePrefix="0" xfId="0">
      <alignment horizontal="center" vertical="center"/>
    </xf>
    <xf numFmtId="0" fontId="9" fillId="4" borderId="16" applyAlignment="1" pivotButton="0" quotePrefix="0" xfId="0">
      <alignment horizontal="center" vertical="center" wrapText="1"/>
    </xf>
    <xf numFmtId="0" fontId="9" fillId="4" borderId="8" applyAlignment="1" pivotButton="0" quotePrefix="0" xfId="0">
      <alignment horizontal="center" vertical="center" wrapText="1"/>
    </xf>
    <xf numFmtId="1" fontId="1" fillId="2" borderId="9" applyAlignment="1" pivotButton="0" quotePrefix="0" xfId="0">
      <alignment vertical="center"/>
    </xf>
    <xf numFmtId="49" fontId="1" fillId="2" borderId="10" applyAlignment="1" pivotButton="0" quotePrefix="0" xfId="0">
      <alignment horizontal="left" vertical="center"/>
    </xf>
    <xf numFmtId="0" fontId="13" fillId="2" borderId="10" applyAlignment="1" pivotButton="0" quotePrefix="0" xfId="0">
      <alignment horizontal="left" vertical="center"/>
    </xf>
    <xf numFmtId="0" fontId="14" fillId="2" borderId="10" applyAlignment="1" pivotButton="0" quotePrefix="0" xfId="0">
      <alignment horizontal="left" vertical="center" wrapText="1"/>
    </xf>
    <xf numFmtId="0" fontId="1" fillId="2" borderId="11" applyAlignment="1" pivotButton="0" quotePrefix="0" xfId="0">
      <alignment horizontal="left" vertical="center" wrapText="1"/>
    </xf>
    <xf numFmtId="0" fontId="1" fillId="2" borderId="10" applyAlignment="1" pivotButton="0" quotePrefix="0" xfId="0">
      <alignment horizontal="left" vertical="center"/>
    </xf>
    <xf numFmtId="0" fontId="1" fillId="2" borderId="10" applyAlignment="1" pivotButton="0" quotePrefix="0" xfId="0">
      <alignment horizontal="left" vertical="center" wrapText="1"/>
    </xf>
    <xf numFmtId="1" fontId="1" fillId="2" borderId="12" applyAlignment="1" pivotButton="0" quotePrefix="0" xfId="0">
      <alignment vertical="center"/>
    </xf>
    <xf numFmtId="49" fontId="1" fillId="2" borderId="13" applyAlignment="1" pivotButton="0" quotePrefix="0" xfId="0">
      <alignment horizontal="left" vertical="center"/>
    </xf>
    <xf numFmtId="0" fontId="1" fillId="2" borderId="13" applyAlignment="1" pivotButton="0" quotePrefix="0" xfId="0">
      <alignment horizontal="left" vertical="center"/>
    </xf>
    <xf numFmtId="0" fontId="1" fillId="2" borderId="13" applyAlignment="1" pivotButton="0" quotePrefix="0" xfId="0">
      <alignment horizontal="left" vertical="center" wrapText="1"/>
    </xf>
    <xf numFmtId="0" fontId="1" fillId="2" borderId="14" applyAlignment="1" pivotButton="0" quotePrefix="0" xfId="0">
      <alignment horizontal="left" vertical="center" wrapText="1"/>
    </xf>
    <xf numFmtId="0" fontId="3" fillId="2" borderId="17" applyAlignment="1" pivotButton="0" quotePrefix="0" xfId="0">
      <alignment horizontal="center"/>
    </xf>
    <xf numFmtId="0" fontId="4" fillId="0" borderId="18" pivotButton="0" quotePrefix="0" xfId="0"/>
    <xf numFmtId="0" fontId="4" fillId="0" borderId="19" pivotButton="0" quotePrefix="0" xfId="0"/>
    <xf numFmtId="0" fontId="7" fillId="2" borderId="4" pivotButton="0" quotePrefix="0" xfId="0"/>
    <xf numFmtId="15" fontId="1" fillId="2" borderId="4" pivotButton="0" quotePrefix="0" xfId="0"/>
    <xf numFmtId="0" fontId="5" fillId="2" borderId="5" applyAlignment="1" pivotButton="0" quotePrefix="0" xfId="0">
      <alignment horizontal="left" vertical="center"/>
    </xf>
    <xf numFmtId="0" fontId="5" fillId="2" borderId="1" applyAlignment="1" pivotButton="0" quotePrefix="0" xfId="0">
      <alignment horizontal="left"/>
    </xf>
    <xf numFmtId="0" fontId="5" fillId="2" borderId="20" applyAlignment="1" pivotButton="0" quotePrefix="0" xfId="0">
      <alignment horizontal="left"/>
    </xf>
    <xf numFmtId="0" fontId="1" fillId="2" borderId="20" applyAlignment="1" pivotButton="0" quotePrefix="0" xfId="0">
      <alignment vertical="top"/>
    </xf>
    <xf numFmtId="0" fontId="5" fillId="2" borderId="5" applyAlignment="1" pivotButton="0" quotePrefix="0" xfId="0">
      <alignment vertical="center"/>
    </xf>
    <xf numFmtId="14" fontId="6" fillId="2" borderId="20" applyAlignment="1" pivotButton="0" quotePrefix="0" xfId="0">
      <alignment vertical="top"/>
    </xf>
    <xf numFmtId="0" fontId="6" fillId="2" borderId="1" applyAlignment="1" pivotButton="0" quotePrefix="0" xfId="0">
      <alignment vertical="top"/>
    </xf>
    <xf numFmtId="0" fontId="5" fillId="2" borderId="4" pivotButton="0" quotePrefix="0" xfId="0"/>
    <xf numFmtId="0" fontId="6" fillId="2" borderId="4" pivotButton="0" quotePrefix="0" xfId="0"/>
    <xf numFmtId="0" fontId="1" fillId="2" borderId="21" pivotButton="0" quotePrefix="0" xfId="0"/>
    <xf numFmtId="0" fontId="9" fillId="3" borderId="22" applyAlignment="1" pivotButton="0" quotePrefix="0" xfId="0">
      <alignment horizontal="center"/>
    </xf>
    <xf numFmtId="0" fontId="9" fillId="3" borderId="7" applyAlignment="1" pivotButton="0" quotePrefix="0" xfId="0">
      <alignment horizontal="center"/>
    </xf>
    <xf numFmtId="0" fontId="9" fillId="3" borderId="7" applyAlignment="1" pivotButton="0" quotePrefix="0" xfId="0">
      <alignment horizontal="center" wrapText="1"/>
    </xf>
    <xf numFmtId="0" fontId="9" fillId="3" borderId="16" applyAlignment="1" pivotButton="0" quotePrefix="0" xfId="0">
      <alignment horizontal="center"/>
    </xf>
    <xf numFmtId="0" fontId="9" fillId="3" borderId="23" applyAlignment="1" pivotButton="0" quotePrefix="0" xfId="0">
      <alignment horizontal="center" wrapText="1"/>
    </xf>
    <xf numFmtId="0" fontId="1" fillId="2" borderId="24" applyAlignment="1" pivotButton="0" quotePrefix="0" xfId="0">
      <alignment horizontal="center"/>
    </xf>
    <xf numFmtId="0" fontId="1" fillId="2" borderId="10" pivotButton="0" quotePrefix="0" xfId="0"/>
    <xf numFmtId="0" fontId="1" fillId="2" borderId="10" applyAlignment="1" pivotButton="0" quotePrefix="0" xfId="0">
      <alignment horizontal="center"/>
    </xf>
    <xf numFmtId="0" fontId="1" fillId="2" borderId="25" applyAlignment="1" pivotButton="0" quotePrefix="0" xfId="0">
      <alignment horizontal="center"/>
    </xf>
    <xf numFmtId="0" fontId="1" fillId="2" borderId="26" applyAlignment="1" pivotButton="0" quotePrefix="0" xfId="0">
      <alignment horizontal="center"/>
    </xf>
    <xf numFmtId="0" fontId="15" fillId="3" borderId="27" applyAlignment="1" pivotButton="0" quotePrefix="0" xfId="0">
      <alignment horizontal="center"/>
    </xf>
    <xf numFmtId="0" fontId="9" fillId="3" borderId="13" pivotButton="0" quotePrefix="0" xfId="0"/>
    <xf numFmtId="0" fontId="15" fillId="3" borderId="13" applyAlignment="1" pivotButton="0" quotePrefix="0" xfId="0">
      <alignment horizontal="center"/>
    </xf>
    <xf numFmtId="0" fontId="15" fillId="3" borderId="28" applyAlignment="1" pivotButton="0" quotePrefix="0" xfId="0">
      <alignment horizontal="center"/>
    </xf>
    <xf numFmtId="0" fontId="1" fillId="2" borderId="4" applyAlignment="1" pivotButton="0" quotePrefix="0" xfId="0">
      <alignment horizontal="center"/>
    </xf>
    <xf numFmtId="10" fontId="1" fillId="2" borderId="4" applyAlignment="1" pivotButton="0" quotePrefix="0" xfId="0">
      <alignment horizontal="center"/>
    </xf>
    <xf numFmtId="9" fontId="1" fillId="2" borderId="4" applyAlignment="1" pivotButton="0" quotePrefix="0" xfId="0">
      <alignment horizontal="center"/>
    </xf>
    <xf numFmtId="2" fontId="16" fillId="2" borderId="4" applyAlignment="1" pivotButton="0" quotePrefix="0" xfId="0">
      <alignment horizontal="right" wrapText="1"/>
    </xf>
    <xf numFmtId="0" fontId="17" fillId="2" borderId="4" applyAlignment="1" pivotButton="0" quotePrefix="0" xfId="0">
      <alignment horizontal="center" wrapText="1"/>
    </xf>
    <xf numFmtId="0" fontId="18" fillId="2" borderId="4" pivotButton="0" quotePrefix="0" xfId="0"/>
    <xf numFmtId="0" fontId="7" fillId="2" borderId="29" applyAlignment="1" pivotButton="0" quotePrefix="0" xfId="0">
      <alignment horizontal="center" vertical="top" wrapText="1"/>
    </xf>
    <xf numFmtId="0" fontId="1" fillId="2" borderId="30" applyAlignment="1" pivotButton="0" quotePrefix="0" xfId="0">
      <alignment horizontal="left" vertical="top" wrapText="1"/>
    </xf>
    <xf numFmtId="0" fontId="4" fillId="0" borderId="31" pivotButton="0" quotePrefix="0" xfId="0"/>
    <xf numFmtId="0" fontId="4" fillId="0" borderId="32" pivotButton="0" quotePrefix="0" xfId="0"/>
    <xf numFmtId="0" fontId="6" fillId="2" borderId="4" applyAlignment="1" pivotButton="0" quotePrefix="0" xfId="0">
      <alignment wrapText="1"/>
    </xf>
    <xf numFmtId="0" fontId="6" fillId="2" borderId="4" applyAlignment="1" pivotButton="0" quotePrefix="0" xfId="0">
      <alignment horizontal="left" wrapText="1"/>
    </xf>
    <xf numFmtId="0" fontId="18" fillId="2" borderId="4" applyAlignment="1" pivotButton="0" quotePrefix="0" xfId="0">
      <alignment wrapText="1"/>
    </xf>
    <xf numFmtId="0" fontId="17" fillId="2" borderId="4" pivotButton="0" quotePrefix="0" xfId="0"/>
    <xf numFmtId="0" fontId="7" fillId="2" borderId="33" applyAlignment="1" pivotButton="0" quotePrefix="0" xfId="0">
      <alignment horizontal="center" vertical="top" wrapText="1"/>
    </xf>
    <xf numFmtId="0" fontId="1" fillId="2" borderId="1" applyAlignment="1" pivotButton="0" quotePrefix="0" xfId="0">
      <alignment horizontal="left" vertical="top" wrapText="1"/>
    </xf>
    <xf numFmtId="0" fontId="4" fillId="0" borderId="34" pivotButton="0" quotePrefix="0" xfId="0"/>
    <xf numFmtId="0" fontId="19" fillId="2" borderId="33" applyAlignment="1" pivotButton="0" quotePrefix="0" xfId="0">
      <alignment horizontal="center" vertical="top" wrapText="1"/>
    </xf>
    <xf numFmtId="0" fontId="19" fillId="2" borderId="5" applyAlignment="1" pivotButton="0" quotePrefix="0" xfId="0">
      <alignment horizontal="center" vertical="top" wrapText="1"/>
    </xf>
    <xf numFmtId="0" fontId="19" fillId="2" borderId="35" applyAlignment="1" pivotButton="0" quotePrefix="0" xfId="0">
      <alignment horizontal="center" vertical="top" wrapText="1"/>
    </xf>
    <xf numFmtId="0" fontId="11" fillId="2" borderId="4" applyAlignment="1" pivotButton="0" quotePrefix="0" xfId="0">
      <alignment horizontal="center" vertical="center" wrapText="1"/>
    </xf>
    <xf numFmtId="0" fontId="1" fillId="2" borderId="4" applyAlignment="1" pivotButton="0" quotePrefix="0" xfId="0">
      <alignment horizontal="center" wrapText="1"/>
    </xf>
    <xf numFmtId="0" fontId="18" fillId="2" borderId="4" applyAlignment="1" pivotButton="0" quotePrefix="0" xfId="0">
      <alignment horizontal="center" wrapText="1"/>
    </xf>
    <xf numFmtId="0" fontId="1" fillId="2" borderId="5" applyAlignment="1" pivotButton="0" quotePrefix="0" xfId="0">
      <alignment horizontal="center" vertical="top" wrapText="1"/>
    </xf>
    <xf numFmtId="0" fontId="1" fillId="2" borderId="35" applyAlignment="1" pivotButton="0" quotePrefix="0" xfId="0">
      <alignment horizontal="center" vertical="top" wrapText="1"/>
    </xf>
    <xf numFmtId="0" fontId="17" fillId="2" borderId="4" applyAlignment="1" pivotButton="0" quotePrefix="0" xfId="0">
      <alignment horizontal="center" vertical="center" wrapText="1"/>
    </xf>
    <xf numFmtId="0" fontId="19" fillId="2" borderId="36" applyAlignment="1" pivotButton="0" quotePrefix="0" xfId="0">
      <alignment horizontal="center" vertical="top" wrapText="1"/>
    </xf>
    <xf numFmtId="0" fontId="1" fillId="2" borderId="37" applyAlignment="1" pivotButton="0" quotePrefix="0" xfId="0">
      <alignment horizontal="center" vertical="top" wrapText="1"/>
    </xf>
    <xf numFmtId="0" fontId="1" fillId="2" borderId="38" applyAlignment="1" pivotButton="0" quotePrefix="0" xfId="0">
      <alignment horizontal="center" vertical="top" wrapText="1"/>
    </xf>
    <xf numFmtId="0" fontId="9" fillId="5" borderId="5" applyAlignment="1" pivotButton="0" quotePrefix="0" xfId="0">
      <alignment horizontal="center" vertical="center" wrapText="1"/>
    </xf>
    <xf numFmtId="0" fontId="12" fillId="2" borderId="4" applyAlignment="1" pivotButton="0" quotePrefix="0" xfId="0">
      <alignment horizontal="center" vertical="center" wrapText="1"/>
    </xf>
    <xf numFmtId="0" fontId="7" fillId="6" borderId="39" applyAlignment="1" pivotButton="0" quotePrefix="0" xfId="0">
      <alignment horizontal="left" vertical="center"/>
    </xf>
    <xf numFmtId="0" fontId="7" fillId="6" borderId="40" applyAlignment="1" pivotButton="0" quotePrefix="0" xfId="0">
      <alignment horizontal="left" vertical="center"/>
    </xf>
    <xf numFmtId="0" fontId="7" fillId="6" borderId="41" applyAlignment="1" pivotButton="0" quotePrefix="0" xfId="0">
      <alignment horizontal="left" vertical="center"/>
    </xf>
    <xf numFmtId="0" fontId="12" fillId="2" borderId="4" applyAlignment="1" pivotButton="0" quotePrefix="0" xfId="0">
      <alignment horizontal="left" vertical="center"/>
    </xf>
    <xf numFmtId="0" fontId="6" fillId="2" borderId="5" applyAlignment="1" pivotButton="0" quotePrefix="0" xfId="0">
      <alignment vertical="top" wrapText="1"/>
    </xf>
    <xf numFmtId="0" fontId="6" fillId="2" borderId="5" applyAlignment="1" pivotButton="0" quotePrefix="0" xfId="0">
      <alignment horizontal="left" vertical="top" wrapText="1"/>
    </xf>
    <xf numFmtId="0" fontId="1" fillId="2" borderId="5" applyAlignment="1" pivotButton="0" quotePrefix="0" xfId="0">
      <alignment vertical="top" wrapText="1"/>
    </xf>
    <xf numFmtId="0" fontId="17" fillId="2" borderId="4" applyAlignment="1" pivotButton="0" quotePrefix="0" xfId="0">
      <alignment vertical="top"/>
    </xf>
    <xf numFmtId="0" fontId="18" fillId="2" borderId="4" applyAlignment="1" pivotButton="0" quotePrefix="0" xfId="0">
      <alignment vertical="top" wrapText="1"/>
    </xf>
    <xf numFmtId="0" fontId="7" fillId="6" borderId="42" applyAlignment="1" pivotButton="0" quotePrefix="0" xfId="0">
      <alignment horizontal="left" vertical="center"/>
    </xf>
    <xf numFmtId="0" fontId="7" fillId="6" borderId="43" applyAlignment="1" pivotButton="0" quotePrefix="0" xfId="0">
      <alignment horizontal="left" vertical="center"/>
    </xf>
    <xf numFmtId="0" fontId="7" fillId="6" borderId="20" applyAlignment="1" pivotButton="0" quotePrefix="0" xfId="0">
      <alignment horizontal="left" vertical="center"/>
    </xf>
    <xf numFmtId="0" fontId="1" fillId="2" borderId="5" pivotButton="0" quotePrefix="0" xfId="0"/>
    <xf numFmtId="0" fontId="1" fillId="2" borderId="5" applyAlignment="1" pivotButton="0" quotePrefix="0" xfId="0">
      <alignment vertical="top"/>
    </xf>
    <xf numFmtId="0" fontId="1" fillId="2" borderId="5" applyAlignment="1" pivotButton="0" quotePrefix="0" xfId="0">
      <alignment vertical="top" wrapText="1"/>
    </xf>
    <xf numFmtId="0" fontId="20" fillId="7" borderId="44" applyAlignment="1" pivotButton="0" quotePrefix="0" xfId="0">
      <alignment horizontal="left" vertical="top" wrapText="1"/>
    </xf>
    <xf numFmtId="0" fontId="1" fillId="2" borderId="1" applyAlignment="1" pivotButton="0" quotePrefix="0" xfId="0">
      <alignment horizontal="left" vertical="top" wrapText="1"/>
    </xf>
    <xf numFmtId="0" fontId="7" fillId="6" borderId="39" applyAlignment="1" pivotButton="0" quotePrefix="0" xfId="0">
      <alignment horizontal="left" vertical="center"/>
    </xf>
    <xf numFmtId="0" fontId="6" fillId="2" borderId="5" applyAlignment="1" pivotButton="0" quotePrefix="0" xfId="0">
      <alignment vertical="top" wrapText="1"/>
    </xf>
    <xf numFmtId="0" fontId="6" fillId="2" borderId="5" applyAlignment="1" pivotButton="0" quotePrefix="0" xfId="0">
      <alignment horizontal="left" vertical="top" wrapText="1"/>
    </xf>
    <xf numFmtId="0" fontId="7" fillId="6" borderId="42" applyAlignment="1" pivotButton="0" quotePrefix="0" xfId="0">
      <alignment horizontal="left" vertical="center"/>
    </xf>
    <xf numFmtId="0" fontId="0" fillId="0" borderId="0" pivotButton="0" quotePrefix="0" xfId="0"/>
    <xf numFmtId="0" fontId="3" fillId="0" borderId="5" applyAlignment="1" pivotButton="0" quotePrefix="0" xfId="0">
      <alignment horizontal="center" vertical="center"/>
    </xf>
    <xf numFmtId="0" fontId="0" fillId="0" borderId="2" pivotButton="0" quotePrefix="0" xfId="0"/>
    <xf numFmtId="0" fontId="0" fillId="0" borderId="3" pivotButton="0" quotePrefix="0" xfId="0"/>
    <xf numFmtId="0" fontId="8" fillId="0" borderId="5" applyAlignment="1" pivotButton="0" quotePrefix="0" xfId="0">
      <alignment horizontal="left"/>
    </xf>
    <xf numFmtId="0" fontId="8" fillId="0" borderId="5" applyAlignment="1" pivotButton="0" quotePrefix="0" xfId="0">
      <alignment horizontal="left" vertical="center"/>
    </xf>
    <xf numFmtId="1" fontId="5" fillId="2" borderId="42" pivotButton="0" quotePrefix="0" xfId="0"/>
    <xf numFmtId="0" fontId="6" fillId="2" borderId="5" applyAlignment="1" pivotButton="0" quotePrefix="0" xfId="0">
      <alignment horizontal="left"/>
    </xf>
    <xf numFmtId="1" fontId="5" fillId="2" borderId="5" applyAlignment="1" pivotButton="0" quotePrefix="0" xfId="0">
      <alignment vertical="center" wrapText="1"/>
    </xf>
    <xf numFmtId="0" fontId="3" fillId="2" borderId="4" applyAlignment="1" pivotButton="0" quotePrefix="0" xfId="0">
      <alignment horizontal="center"/>
    </xf>
    <xf numFmtId="0" fontId="5" fillId="2" borderId="5" applyAlignment="1" pivotButton="0" quotePrefix="0" xfId="0">
      <alignment horizontal="left"/>
    </xf>
    <xf numFmtId="0" fontId="6" fillId="2" borderId="5" applyAlignment="1" pivotButton="0" quotePrefix="0" xfId="0">
      <alignment vertical="top"/>
    </xf>
    <xf numFmtId="0" fontId="1" fillId="2" borderId="47" applyAlignment="1" pivotButton="0" quotePrefix="0" xfId="0">
      <alignment horizontal="left" vertical="top" wrapText="1"/>
    </xf>
    <xf numFmtId="0" fontId="0" fillId="0" borderId="31" pivotButton="0" quotePrefix="0" xfId="0"/>
    <xf numFmtId="0" fontId="0" fillId="0" borderId="32" pivotButton="0" quotePrefix="0" xfId="0"/>
    <xf numFmtId="0" fontId="1" fillId="2" borderId="35" applyAlignment="1" pivotButton="0" quotePrefix="0" xfId="0">
      <alignment horizontal="left" vertical="top" wrapText="1"/>
    </xf>
    <xf numFmtId="0" fontId="0" fillId="0" borderId="34" pivotButton="0" quotePrefix="0" xfId="0"/>
    <xf numFmtId="0" fontId="21" fillId="8" borderId="51" pivotButton="0" quotePrefix="0" xfId="0"/>
    <xf numFmtId="0" fontId="0" fillId="0" borderId="5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None</author>
  </authors>
  <commentList>
    <comment ref="D10" authorId="0" shapeId="0">
      <text>
        <t>======
ID#AAAB9NF6-vA
    (2026-06-26 03:07:37)
*A: Add
  M: Modify
  D: Delete</t>
      </text>
    </comment>
  </commentList>
</comments>
</file>

<file path=xl/comments/comment2.xml><?xml version="1.0" encoding="utf-8"?>
<comments xmlns="http://schemas.openxmlformats.org/spreadsheetml/2006/main">
  <authors>
    <author>None</author>
  </authors>
  <commentList>
    <comment ref="E10" authorId="0" shapeId="0">
      <text>
        <t>======
ID#AAAB9NF6-vU
    (2026-06-26 03:07:37)
List all test cases (must run before this case), conditions that must be done, or required state that the system should be in before performing this case</t>
      </text>
    </comment>
  </commentList>
</comments>
</file>

<file path=xl/comments/comment3.xml><?xml version="1.0" encoding="utf-8"?>
<comments xmlns="http://schemas.openxmlformats.org/spreadsheetml/2006/main">
  <authors>
    <author>None</author>
  </authors>
  <commentList>
    <comment ref="E10" authorId="0" shapeId="0">
      <text>
        <t>======
ID#AAAB9NF6-vQ
    (2026-06-26 03:07:37)
List all test cases (must run before this case), conditions that must be done, or required state that the system should be in before performing this case</t>
      </text>
    </comment>
  </commentList>
</comments>
</file>

<file path=xl/comments/comment4.xml><?xml version="1.0" encoding="utf-8"?>
<comments xmlns="http://schemas.openxmlformats.org/spreadsheetml/2006/main">
  <authors>
    <author>None</author>
  </authors>
  <commentList>
    <comment ref="E10" authorId="0" shapeId="0">
      <text>
        <t>======
ID#AAAB9NF6-vI
    (2026-06-26 03:07:37)
List all test cases (must run before this case), conditions that must be done, or required state that the system should be in before performing this case</t>
      </text>
    </comment>
  </commentList>
</comments>
</file>

<file path=xl/comments/comment5.xml><?xml version="1.0" encoding="utf-8"?>
<comments xmlns="http://schemas.openxmlformats.org/spreadsheetml/2006/main">
  <authors>
    <author>None</author>
  </authors>
  <commentList>
    <comment ref="E10" authorId="0" shapeId="0">
      <text>
        <t>======
ID#AAAB9NF6-vE
    (2026-06-26 03:07:37)
List all test cases (must run before this case), conditions that must be done, or required state that the system should be in before performing this case</t>
      </text>
    </comment>
  </commentList>
</comments>
</file>

<file path=xl/comments/comment6.xml><?xml version="1.0" encoding="utf-8"?>
<comments xmlns="http://schemas.openxmlformats.org/spreadsheetml/2006/main">
  <authors>
    <author>None</author>
  </authors>
  <commentList>
    <comment ref="E10" authorId="0" shapeId="0">
      <text>
        <t>======
ID#AAAB9NF6-vc
    (2026-06-26 03:07:37)
List all test cases (must run before this case), conditions that must be done, or required state that the system should be in before performing this case</t>
      </text>
    </comment>
  </commentList>
</comments>
</file>

<file path=xl/comments/comment7.xml><?xml version="1.0" encoding="utf-8"?>
<comments xmlns="http://schemas.openxmlformats.org/spreadsheetml/2006/main">
  <authors>
    <author>None</author>
  </authors>
  <commentList>
    <comment ref="E10" authorId="0" shapeId="0">
      <text>
        <t>======
ID#AAAB9NF6-vY
    (2026-06-26 03:07:37)
List all test cases (must run before this case), conditions that must be done, or required state that the system should be in before performing this case</t>
      </text>
    </comment>
  </commentList>
</comments>
</file>

<file path=xl/comments/comment8.xml><?xml version="1.0" encoding="utf-8"?>
<comments xmlns="http://schemas.openxmlformats.org/spreadsheetml/2006/main">
  <authors>
    <author>None</author>
  </authors>
  <commentList>
    <comment ref="E10" authorId="0" shapeId="0">
      <text>
        <t>======
ID#AAAB9NF6-u8
    (2026-06-26 03:07:37)
List all test cases (must run before this case), conditions that must be done, or required state that the system should be in before performing this case</t>
      </text>
    </comment>
  </commentList>
</comments>
</file>

<file path=xl/comments/comment9.xml><?xml version="1.0" encoding="utf-8"?>
<comments xmlns="http://schemas.openxmlformats.org/spreadsheetml/2006/main">
  <authors>
    <author>None</author>
  </authors>
  <commentList>
    <comment ref="E10" authorId="0" shapeId="0">
      <text>
        <t>======
ID#AAAB9NF6-vM
    (2026-06-26 03:07:37)
List all test cases (must run before this case), conditions that must be done, or required state that the system should be in before performing this case</t>
      </text>
    </comment>
  </commentList>
</comments>
</file>

<file path=xl/comments/comment10.xml><?xml version="1.0" encoding="utf-8"?>
<comments xmlns="http://schemas.openxmlformats.org/spreadsheetml/2006/main">
  <authors>
    <author>None</author>
  </authors>
  <commentList>
    <comment ref="E10" authorId="0" shapeId="0">
      <text>
        <t>======
ID#AAAB9NF6-u4
    (2026-06-26 03:07:37)
List all test cases (must run before this case), conditions that must be done, or required state that the system should be in before performing this case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8.13" customWidth="1" style="162" min="1" max="1"/>
    <col width="10" customWidth="1" style="162" min="2" max="2"/>
    <col width="21.63" customWidth="1" style="162" min="3" max="3"/>
    <col width="8" customWidth="1" style="162" min="4" max="4"/>
    <col width="49.5" customWidth="1" style="162" min="5" max="5"/>
    <col width="48.13" customWidth="1" style="162" min="6" max="6"/>
    <col width="9" customWidth="1" style="162" min="7" max="26"/>
  </cols>
  <sheetData>
    <row r="1" ht="12.75" customHeight="1" s="162">
      <c r="A1" s="1" t="n"/>
      <c r="B1" s="2" t="n"/>
      <c r="C1" s="2" t="n"/>
      <c r="D1" s="2" t="n"/>
      <c r="E1" s="3" t="n"/>
      <c r="F1" s="2" t="n"/>
      <c r="G1" s="2" t="n"/>
      <c r="H1" s="2" t="n"/>
      <c r="I1" s="2" t="n"/>
      <c r="J1" s="2" t="n"/>
      <c r="K1" s="2" t="n"/>
      <c r="L1" s="2" t="n"/>
      <c r="M1" s="2" t="n"/>
      <c r="N1" s="2" t="n"/>
      <c r="O1" s="2" t="n"/>
      <c r="P1" s="2" t="n"/>
      <c r="Q1" s="2" t="n"/>
      <c r="R1" s="2" t="n"/>
      <c r="S1" s="2" t="n"/>
      <c r="T1" s="2" t="n"/>
      <c r="U1" s="2" t="n"/>
      <c r="V1" s="2" t="n"/>
      <c r="W1" s="2" t="n"/>
      <c r="X1" s="2" t="n"/>
      <c r="Y1" s="2" t="n"/>
      <c r="Z1" s="2" t="n"/>
    </row>
    <row r="2" ht="75.75" customHeight="1" s="162">
      <c r="A2" s="4" t="n"/>
      <c r="B2" s="163" t="inlineStr">
        <is>
          <t>SYSTEM TEST REPORT DOCUMENT</t>
        </is>
      </c>
      <c r="C2" s="164" t="n"/>
      <c r="D2" s="164" t="n"/>
      <c r="E2" s="164" t="n"/>
      <c r="F2" s="165" t="n"/>
      <c r="G2" s="8" t="n"/>
      <c r="H2" s="8" t="n"/>
      <c r="I2" s="8" t="n"/>
      <c r="J2" s="8" t="n"/>
      <c r="K2" s="8" t="n"/>
      <c r="L2" s="8" t="n"/>
      <c r="M2" s="8" t="n"/>
      <c r="N2" s="8" t="n"/>
      <c r="O2" s="8" t="n"/>
      <c r="P2" s="8" t="n"/>
      <c r="Q2" s="8" t="n"/>
      <c r="R2" s="8" t="n"/>
      <c r="S2" s="8" t="n"/>
      <c r="T2" s="8" t="n"/>
      <c r="U2" s="8" t="n"/>
      <c r="V2" s="8" t="n"/>
      <c r="W2" s="8" t="n"/>
      <c r="X2" s="8" t="n"/>
      <c r="Y2" s="8" t="n"/>
      <c r="Z2" s="8" t="n"/>
    </row>
    <row r="3" ht="12.75" customHeight="1" s="162">
      <c r="A3" s="9" t="n"/>
      <c r="B3" s="10" t="n"/>
      <c r="C3" s="2" t="n"/>
      <c r="D3" s="2" t="n"/>
      <c r="E3" s="11" t="n"/>
      <c r="F3" s="2" t="n"/>
      <c r="G3" s="2" t="n"/>
      <c r="H3" s="2" t="n"/>
      <c r="I3" s="2" t="n"/>
      <c r="J3" s="2" t="n"/>
      <c r="K3" s="2" t="n"/>
      <c r="L3" s="2" t="n"/>
      <c r="M3" s="2" t="n"/>
      <c r="N3" s="2" t="n"/>
      <c r="O3" s="2" t="n"/>
      <c r="P3" s="2" t="n"/>
      <c r="Q3" s="2" t="n"/>
      <c r="R3" s="2" t="n"/>
      <c r="S3" s="2" t="n"/>
      <c r="T3" s="2" t="n"/>
      <c r="U3" s="2" t="n"/>
      <c r="V3" s="2" t="n"/>
      <c r="W3" s="2" t="n"/>
      <c r="X3" s="2" t="n"/>
      <c r="Y3" s="2" t="n"/>
      <c r="Z3" s="2" t="n"/>
    </row>
    <row r="4" ht="14.25" customHeight="1" s="162">
      <c r="A4" s="12" t="inlineStr">
        <is>
          <t>Project Name</t>
        </is>
      </c>
      <c r="B4" s="166" t="inlineStr">
        <is>
          <t>Eyes Clinic Management System</t>
        </is>
      </c>
      <c r="C4" s="164" t="n"/>
      <c r="D4" s="165" t="n"/>
      <c r="E4" s="14" t="inlineStr">
        <is>
          <t>Creator</t>
        </is>
      </c>
      <c r="F4" s="15" t="inlineStr">
        <is>
          <t>TuanTD</t>
        </is>
      </c>
      <c r="G4" s="2" t="n"/>
      <c r="H4" s="2" t="n"/>
      <c r="I4" s="2" t="n"/>
      <c r="J4" s="2" t="n"/>
      <c r="K4" s="2" t="n"/>
      <c r="L4" s="2" t="n"/>
      <c r="M4" s="2" t="n"/>
      <c r="N4" s="2" t="n"/>
      <c r="O4" s="2" t="n"/>
      <c r="P4" s="2" t="n"/>
      <c r="Q4" s="2" t="n"/>
      <c r="R4" s="2" t="n"/>
      <c r="S4" s="2" t="n"/>
      <c r="T4" s="2" t="n"/>
      <c r="U4" s="2" t="n"/>
      <c r="V4" s="2" t="n"/>
      <c r="W4" s="2" t="n"/>
      <c r="X4" s="2" t="n"/>
      <c r="Y4" s="2" t="n"/>
      <c r="Z4" s="2" t="n"/>
    </row>
    <row r="5" ht="14.25" customHeight="1" s="162">
      <c r="A5" s="12" t="inlineStr">
        <is>
          <t>Project Code</t>
        </is>
      </c>
      <c r="B5" s="166" t="inlineStr">
        <is>
          <t>ECMS</t>
        </is>
      </c>
      <c r="C5" s="164" t="n"/>
      <c r="D5" s="165" t="n"/>
      <c r="E5" s="14" t="inlineStr">
        <is>
          <t>Issue Date</t>
        </is>
      </c>
      <c r="F5" s="16" t="n">
        <v>46240</v>
      </c>
      <c r="G5" s="2" t="n"/>
      <c r="H5" s="2" t="n"/>
      <c r="I5" s="2" t="n"/>
      <c r="J5" s="2" t="n"/>
      <c r="K5" s="2" t="n"/>
      <c r="L5" s="2" t="n"/>
      <c r="M5" s="2" t="n"/>
      <c r="N5" s="2" t="n"/>
      <c r="O5" s="2" t="n"/>
      <c r="P5" s="2" t="n"/>
      <c r="Q5" s="2" t="n"/>
      <c r="R5" s="2" t="n"/>
      <c r="S5" s="2" t="n"/>
      <c r="T5" s="2" t="n"/>
      <c r="U5" s="2" t="n"/>
      <c r="V5" s="2" t="n"/>
      <c r="W5" s="2" t="n"/>
      <c r="X5" s="2" t="n"/>
      <c r="Y5" s="2" t="n"/>
      <c r="Z5" s="2" t="n"/>
    </row>
    <row r="6" ht="15.75" customHeight="1" s="162">
      <c r="A6" s="17" t="inlineStr">
        <is>
          <t>Document Code</t>
        </is>
      </c>
      <c r="B6" s="167">
        <f>B5&amp;"_"&amp;"XXX"&amp;"_"&amp;"v1.0"</f>
        <v/>
      </c>
      <c r="C6" s="164" t="n"/>
      <c r="D6" s="165" t="n"/>
      <c r="E6" s="14" t="inlineStr">
        <is>
          <t>Version</t>
        </is>
      </c>
      <c r="F6" s="19" t="inlineStr">
        <is>
          <t>v1.1</t>
        </is>
      </c>
      <c r="G6" s="2" t="n"/>
      <c r="H6" s="2" t="n"/>
      <c r="I6" s="2" t="n"/>
      <c r="J6" s="2" t="n"/>
      <c r="K6" s="2" t="n"/>
      <c r="L6" s="2" t="n"/>
      <c r="M6" s="2" t="n"/>
      <c r="N6" s="2" t="n"/>
      <c r="O6" s="2" t="n"/>
      <c r="P6" s="2" t="n"/>
      <c r="Q6" s="2" t="n"/>
      <c r="R6" s="2" t="n"/>
      <c r="S6" s="2" t="n"/>
      <c r="T6" s="2" t="n"/>
      <c r="U6" s="2" t="n"/>
      <c r="V6" s="2" t="n"/>
      <c r="W6" s="2" t="n"/>
      <c r="X6" s="2" t="n"/>
      <c r="Y6" s="2" t="n"/>
      <c r="Z6" s="2" t="n"/>
    </row>
    <row r="7" ht="12.75" customHeight="1" s="162">
      <c r="A7" s="20" t="n"/>
      <c r="B7" s="10" t="n"/>
      <c r="C7" s="2" t="n"/>
      <c r="D7" s="2" t="n"/>
      <c r="E7" s="21" t="n"/>
      <c r="F7" s="10" t="n"/>
      <c r="G7" s="2" t="n"/>
      <c r="H7" s="2" t="n"/>
      <c r="I7" s="2" t="n"/>
      <c r="J7" s="2" t="n"/>
      <c r="K7" s="2" t="n"/>
      <c r="L7" s="2" t="n"/>
      <c r="M7" s="2" t="n"/>
      <c r="N7" s="2" t="n"/>
      <c r="O7" s="2" t="n"/>
      <c r="P7" s="2" t="n"/>
      <c r="Q7" s="2" t="n"/>
      <c r="R7" s="2" t="n"/>
      <c r="S7" s="2" t="n"/>
      <c r="T7" s="2" t="n"/>
      <c r="U7" s="2" t="n"/>
      <c r="V7" s="2" t="n"/>
      <c r="W7" s="2" t="n"/>
      <c r="X7" s="2" t="n"/>
      <c r="Y7" s="2" t="n"/>
      <c r="Z7" s="2" t="n"/>
    </row>
    <row r="8" ht="12.75" customHeight="1" s="162">
      <c r="A8" s="2" t="n"/>
      <c r="B8" s="2" t="n"/>
      <c r="C8" s="2" t="n"/>
      <c r="D8" s="2" t="n"/>
      <c r="E8" s="3" t="n"/>
      <c r="F8" s="2" t="n"/>
      <c r="G8" s="2" t="n"/>
      <c r="H8" s="2" t="n"/>
      <c r="I8" s="2" t="n"/>
      <c r="J8" s="2" t="n"/>
      <c r="K8" s="2" t="n"/>
      <c r="L8" s="2" t="n"/>
      <c r="M8" s="2" t="n"/>
      <c r="N8" s="2" t="n"/>
      <c r="O8" s="2" t="n"/>
      <c r="P8" s="2" t="n"/>
      <c r="Q8" s="2" t="n"/>
      <c r="R8" s="2" t="n"/>
      <c r="S8" s="2" t="n"/>
      <c r="T8" s="2" t="n"/>
      <c r="U8" s="2" t="n"/>
      <c r="V8" s="2" t="n"/>
      <c r="W8" s="2" t="n"/>
      <c r="X8" s="2" t="n"/>
      <c r="Y8" s="2" t="n"/>
      <c r="Z8" s="2" t="n"/>
    </row>
    <row r="9" ht="12.75" customHeight="1" s="162">
      <c r="A9" s="22" t="inlineStr">
        <is>
          <t>Record of change</t>
        </is>
      </c>
      <c r="B9" s="2" t="n"/>
      <c r="C9" s="2" t="n"/>
      <c r="D9" s="2" t="n"/>
      <c r="E9" s="3" t="n"/>
      <c r="F9" s="2" t="n"/>
      <c r="G9" s="2" t="n"/>
      <c r="H9" s="2" t="n"/>
      <c r="I9" s="2" t="n"/>
      <c r="J9" s="2" t="n"/>
      <c r="K9" s="2" t="n"/>
      <c r="L9" s="2" t="n"/>
      <c r="M9" s="2" t="n"/>
      <c r="N9" s="2" t="n"/>
      <c r="O9" s="2" t="n"/>
      <c r="P9" s="2" t="n"/>
      <c r="Q9" s="2" t="n"/>
      <c r="R9" s="2" t="n"/>
      <c r="S9" s="2" t="n"/>
      <c r="T9" s="2" t="n"/>
      <c r="U9" s="2" t="n"/>
      <c r="V9" s="2" t="n"/>
      <c r="W9" s="2" t="n"/>
      <c r="X9" s="2" t="n"/>
      <c r="Y9" s="2" t="n"/>
      <c r="Z9" s="2" t="n"/>
    </row>
    <row r="10" ht="12.75" customHeight="1" s="162">
      <c r="A10" s="23" t="inlineStr">
        <is>
          <t>Effective Date</t>
        </is>
      </c>
      <c r="B10" s="24" t="inlineStr">
        <is>
          <t>Version</t>
        </is>
      </c>
      <c r="C10" s="24" t="inlineStr">
        <is>
          <t>Change Item</t>
        </is>
      </c>
      <c r="D10" s="24" t="inlineStr">
        <is>
          <t>*A,D,M</t>
        </is>
      </c>
      <c r="E10" s="25" t="inlineStr">
        <is>
          <t>Change description</t>
        </is>
      </c>
      <c r="F10" s="26" t="inlineStr">
        <is>
          <t>Reference</t>
        </is>
      </c>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row>
    <row r="11" ht="26.25" customHeight="1" s="162">
      <c r="A11" s="28" t="n">
        <v>46240</v>
      </c>
      <c r="B11" s="35" t="inlineStr">
        <is>
          <t>v1.0</t>
        </is>
      </c>
      <c r="C11" s="36" t="inlineStr">
        <is>
          <t>Test Cases Creation</t>
        </is>
      </c>
      <c r="D11" s="36" t="inlineStr">
        <is>
          <t>A</t>
        </is>
      </c>
      <c r="E11" s="31" t="inlineStr">
        <is>
          <t>Create system test cases for Doctor Dashboard (UC-15) and EMR Management (UC-19, UC-22)</t>
        </is>
      </c>
      <c r="F11" s="32" t="inlineStr">
        <is>
          <t>UC_Specifications, Project_Tracking</t>
        </is>
      </c>
      <c r="G11" s="33" t="n"/>
      <c r="H11" s="33" t="n"/>
      <c r="I11" s="33" t="n"/>
      <c r="J11" s="33" t="n"/>
      <c r="K11" s="33" t="n"/>
      <c r="L11" s="33" t="n"/>
      <c r="M11" s="33" t="n"/>
      <c r="N11" s="33" t="n"/>
      <c r="O11" s="33" t="n"/>
      <c r="P11" s="33" t="n"/>
      <c r="Q11" s="33" t="n"/>
      <c r="R11" s="33" t="n"/>
      <c r="S11" s="33" t="n"/>
      <c r="T11" s="33" t="n"/>
      <c r="U11" s="33" t="n"/>
      <c r="V11" s="33" t="n"/>
      <c r="W11" s="33" t="n"/>
      <c r="X11" s="33" t="n"/>
      <c r="Y11" s="33" t="n"/>
      <c r="Z11" s="33" t="n"/>
    </row>
    <row r="12" ht="21.75" customHeight="1" s="162">
      <c r="A12" s="38" t="n">
        <v>46199</v>
      </c>
      <c r="B12" s="35" t="inlineStr">
        <is>
          <t>v1.1</t>
        </is>
      </c>
      <c r="C12" s="36" t="inlineStr">
        <is>
          <t>Test Cases Creation for Iter2</t>
        </is>
      </c>
      <c r="D12" s="36" t="inlineStr">
        <is>
          <t>A</t>
        </is>
      </c>
      <c r="E12" s="37" t="n"/>
      <c r="F12" s="32" t="inlineStr">
        <is>
          <t>UC_Specifications, Project_Tracking</t>
        </is>
      </c>
      <c r="G12" s="33" t="n"/>
      <c r="H12" s="33" t="n"/>
      <c r="I12" s="33" t="n"/>
      <c r="J12" s="33" t="n"/>
      <c r="K12" s="33" t="n"/>
      <c r="L12" s="33" t="n"/>
      <c r="M12" s="33" t="n"/>
      <c r="N12" s="33" t="n"/>
      <c r="O12" s="33" t="n"/>
      <c r="P12" s="33" t="n"/>
      <c r="Q12" s="33" t="n"/>
      <c r="R12" s="33" t="n"/>
      <c r="S12" s="33" t="n"/>
      <c r="T12" s="33" t="n"/>
      <c r="U12" s="33" t="n"/>
      <c r="V12" s="33" t="n"/>
      <c r="W12" s="33" t="n"/>
      <c r="X12" s="33" t="n"/>
      <c r="Y12" s="33" t="n"/>
      <c r="Z12" s="33" t="n"/>
    </row>
    <row r="13" ht="19.5" customHeight="1" s="162">
      <c r="A13" s="38" t="n"/>
      <c r="B13" s="35" t="n"/>
      <c r="C13" s="36" t="n"/>
      <c r="D13" s="36" t="n"/>
      <c r="E13" s="37" t="n"/>
      <c r="F13" s="39" t="n"/>
      <c r="G13" s="33" t="n"/>
      <c r="H13" s="33" t="n"/>
      <c r="I13" s="33" t="n"/>
      <c r="J13" s="33" t="n"/>
      <c r="K13" s="33" t="n"/>
      <c r="L13" s="33" t="n"/>
      <c r="M13" s="33" t="n"/>
      <c r="N13" s="33" t="n"/>
      <c r="O13" s="33" t="n"/>
      <c r="P13" s="33" t="n"/>
      <c r="Q13" s="33" t="n"/>
      <c r="R13" s="33" t="n"/>
      <c r="S13" s="33" t="n"/>
      <c r="T13" s="33" t="n"/>
      <c r="U13" s="33" t="n"/>
      <c r="V13" s="33" t="n"/>
      <c r="W13" s="33" t="n"/>
      <c r="X13" s="33" t="n"/>
      <c r="Y13" s="33" t="n"/>
      <c r="Z13" s="33" t="n"/>
    </row>
    <row r="14" ht="21.75" customHeight="1" s="162">
      <c r="A14" s="38" t="n"/>
      <c r="B14" s="35" t="n"/>
      <c r="C14" s="36" t="n"/>
      <c r="D14" s="36" t="n"/>
      <c r="E14" s="37" t="n"/>
      <c r="F14" s="39" t="n"/>
      <c r="G14" s="33" t="n"/>
      <c r="H14" s="33" t="n"/>
      <c r="I14" s="33" t="n"/>
      <c r="J14" s="33" t="n"/>
      <c r="K14" s="33" t="n"/>
      <c r="L14" s="33" t="n"/>
      <c r="M14" s="33" t="n"/>
      <c r="N14" s="33" t="n"/>
      <c r="O14" s="33" t="n"/>
      <c r="P14" s="33" t="n"/>
      <c r="Q14" s="33" t="n"/>
      <c r="R14" s="33" t="n"/>
      <c r="S14" s="33" t="n"/>
      <c r="T14" s="33" t="n"/>
      <c r="U14" s="33" t="n"/>
      <c r="V14" s="33" t="n"/>
      <c r="W14" s="33" t="n"/>
      <c r="X14" s="33" t="n"/>
      <c r="Y14" s="33" t="n"/>
      <c r="Z14" s="33" t="n"/>
    </row>
    <row r="15" ht="19.5" customHeight="1" s="162">
      <c r="A15" s="38" t="n"/>
      <c r="B15" s="35" t="n"/>
      <c r="C15" s="36" t="n"/>
      <c r="D15" s="36" t="n"/>
      <c r="E15" s="37" t="n"/>
      <c r="F15" s="39" t="n"/>
      <c r="G15" s="33" t="n"/>
      <c r="H15" s="33" t="n"/>
      <c r="I15" s="33" t="n"/>
      <c r="J15" s="33" t="n"/>
      <c r="K15" s="33" t="n"/>
      <c r="L15" s="33" t="n"/>
      <c r="M15" s="33" t="n"/>
      <c r="N15" s="33" t="n"/>
      <c r="O15" s="33" t="n"/>
      <c r="P15" s="33" t="n"/>
      <c r="Q15" s="33" t="n"/>
      <c r="R15" s="33" t="n"/>
      <c r="S15" s="33" t="n"/>
      <c r="T15" s="33" t="n"/>
      <c r="U15" s="33" t="n"/>
      <c r="V15" s="33" t="n"/>
      <c r="W15" s="33" t="n"/>
      <c r="X15" s="33" t="n"/>
      <c r="Y15" s="33" t="n"/>
      <c r="Z15" s="33" t="n"/>
    </row>
    <row r="16" ht="21.75" customHeight="1" s="162">
      <c r="A16" s="38" t="n"/>
      <c r="B16" s="35" t="n"/>
      <c r="C16" s="36" t="n"/>
      <c r="D16" s="36" t="n"/>
      <c r="E16" s="37" t="n"/>
      <c r="F16" s="39" t="n"/>
      <c r="G16" s="33" t="n"/>
      <c r="H16" s="33" t="n"/>
      <c r="I16" s="33" t="n"/>
      <c r="J16" s="33" t="n"/>
      <c r="K16" s="33" t="n"/>
      <c r="L16" s="33" t="n"/>
      <c r="M16" s="33" t="n"/>
      <c r="N16" s="33" t="n"/>
      <c r="O16" s="33" t="n"/>
      <c r="P16" s="33" t="n"/>
      <c r="Q16" s="33" t="n"/>
      <c r="R16" s="33" t="n"/>
      <c r="S16" s="33" t="n"/>
      <c r="T16" s="33" t="n"/>
      <c r="U16" s="33" t="n"/>
      <c r="V16" s="33" t="n"/>
      <c r="W16" s="33" t="n"/>
      <c r="X16" s="33" t="n"/>
      <c r="Y16" s="33" t="n"/>
      <c r="Z16" s="33" t="n"/>
    </row>
    <row r="17" ht="19.5" customHeight="1" s="162">
      <c r="A17" s="40" t="n"/>
      <c r="B17" s="41" t="n"/>
      <c r="C17" s="42" t="n"/>
      <c r="D17" s="42" t="n"/>
      <c r="E17" s="43" t="n"/>
      <c r="F17" s="44" t="n"/>
      <c r="G17" s="33" t="n"/>
      <c r="H17" s="33" t="n"/>
      <c r="I17" s="33" t="n"/>
      <c r="J17" s="33" t="n"/>
      <c r="K17" s="33" t="n"/>
      <c r="L17" s="33" t="n"/>
      <c r="M17" s="33" t="n"/>
      <c r="N17" s="33" t="n"/>
      <c r="O17" s="33" t="n"/>
      <c r="P17" s="33" t="n"/>
      <c r="Q17" s="33" t="n"/>
      <c r="R17" s="33" t="n"/>
      <c r="S17" s="33" t="n"/>
      <c r="T17" s="33" t="n"/>
      <c r="U17" s="33" t="n"/>
      <c r="V17" s="33" t="n"/>
      <c r="W17" s="33" t="n"/>
      <c r="X17" s="33" t="n"/>
      <c r="Y17" s="33" t="n"/>
      <c r="Z17" s="33" t="n"/>
    </row>
    <row r="18" ht="12.75" customHeight="1" s="162">
      <c r="A18" s="1" t="n"/>
      <c r="B18" s="2" t="n"/>
      <c r="C18" s="2" t="n"/>
      <c r="D18" s="2" t="n"/>
      <c r="E18" s="3"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2.75" customHeight="1" s="162">
      <c r="A19" s="1" t="n"/>
      <c r="B19" s="2" t="n"/>
      <c r="C19" s="2" t="n"/>
      <c r="D19" s="2" t="n"/>
      <c r="E19" s="3"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2.75" customHeight="1" s="162">
      <c r="A20" s="1" t="n"/>
      <c r="B20" s="2" t="n"/>
      <c r="C20" s="2" t="n"/>
      <c r="D20" s="2" t="n"/>
      <c r="E20" s="3"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2.75" customHeight="1" s="162">
      <c r="A21" s="1" t="n"/>
      <c r="B21" s="2" t="n"/>
      <c r="C21" s="2" t="n"/>
      <c r="D21" s="2" t="n"/>
      <c r="E21" s="3"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2.75" customHeight="1" s="162">
      <c r="A22" s="1" t="n"/>
      <c r="B22" s="2" t="n"/>
      <c r="C22" s="2" t="n"/>
      <c r="D22" s="2" t="n"/>
      <c r="E22" s="3"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2.75" customHeight="1" s="162">
      <c r="A23" s="1" t="n"/>
      <c r="B23" s="2" t="n"/>
      <c r="C23" s="2" t="n"/>
      <c r="D23" s="2" t="n"/>
      <c r="E23" s="3"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2.75" customHeight="1" s="162">
      <c r="A24" s="1" t="n"/>
      <c r="B24" s="2" t="n"/>
      <c r="C24" s="2" t="n"/>
      <c r="D24" s="2" t="n"/>
      <c r="E24" s="3"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2.75" customHeight="1" s="162">
      <c r="A25" s="1" t="n"/>
      <c r="B25" s="2" t="n"/>
      <c r="C25" s="2" t="n"/>
      <c r="D25" s="2" t="n"/>
      <c r="E25" s="3"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2.75" customHeight="1" s="162">
      <c r="A26" s="1" t="n"/>
      <c r="B26" s="2" t="n"/>
      <c r="C26" s="2" t="n"/>
      <c r="D26" s="2" t="n"/>
      <c r="E26" s="3"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2.75" customHeight="1" s="162">
      <c r="A27" s="1" t="n"/>
      <c r="B27" s="2" t="n"/>
      <c r="C27" s="2" t="n"/>
      <c r="D27" s="2" t="n"/>
      <c r="E27" s="3"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2.75" customHeight="1" s="162">
      <c r="A28" s="1" t="n"/>
      <c r="B28" s="2" t="n"/>
      <c r="C28" s="2" t="n"/>
      <c r="D28" s="2" t="n"/>
      <c r="E28" s="3"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2.75" customHeight="1" s="162">
      <c r="A29" s="1" t="n"/>
      <c r="B29" s="2" t="n"/>
      <c r="C29" s="2" t="n"/>
      <c r="D29" s="2" t="n"/>
      <c r="E29" s="3"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2.75" customHeight="1" s="162">
      <c r="A30" s="1" t="n"/>
      <c r="B30" s="2" t="n"/>
      <c r="C30" s="2" t="n"/>
      <c r="D30" s="2" t="n"/>
      <c r="E30" s="3"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2.75" customHeight="1" s="162">
      <c r="A31" s="1" t="n"/>
      <c r="B31" s="2" t="n"/>
      <c r="C31" s="2" t="n"/>
      <c r="D31" s="2" t="n"/>
      <c r="E31" s="3"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2.75" customHeight="1" s="162">
      <c r="A32" s="1" t="n"/>
      <c r="B32" s="2" t="n"/>
      <c r="C32" s="2" t="n"/>
      <c r="D32" s="2" t="n"/>
      <c r="E32" s="3"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2.75" customHeight="1" s="162">
      <c r="A33" s="1" t="n"/>
      <c r="B33" s="2" t="n"/>
      <c r="C33" s="2" t="n"/>
      <c r="D33" s="2" t="n"/>
      <c r="E33" s="3"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2.75" customHeight="1" s="162">
      <c r="A34" s="1" t="n"/>
      <c r="B34" s="2" t="n"/>
      <c r="C34" s="2" t="n"/>
      <c r="D34" s="2" t="n"/>
      <c r="E34" s="3"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2.75" customHeight="1" s="162">
      <c r="A35" s="1" t="n"/>
      <c r="B35" s="2" t="n"/>
      <c r="C35" s="2" t="n"/>
      <c r="D35" s="2" t="n"/>
      <c r="E35" s="3"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2.75" customHeight="1" s="162">
      <c r="A36" s="1" t="n"/>
      <c r="B36" s="2" t="n"/>
      <c r="C36" s="2" t="n"/>
      <c r="D36" s="2" t="n"/>
      <c r="E36" s="3"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2.75" customHeight="1" s="162">
      <c r="A37" s="1" t="n"/>
      <c r="B37" s="2" t="n"/>
      <c r="C37" s="2" t="n"/>
      <c r="D37" s="2" t="n"/>
      <c r="E37" s="3"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2.75" customHeight="1" s="162">
      <c r="A38" s="1" t="n"/>
      <c r="B38" s="2" t="n"/>
      <c r="C38" s="2" t="n"/>
      <c r="D38" s="2" t="n"/>
      <c r="E38" s="3"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2.75" customHeight="1" s="162">
      <c r="A39" s="1" t="n"/>
      <c r="B39" s="2" t="n"/>
      <c r="C39" s="2" t="n"/>
      <c r="D39" s="2" t="n"/>
      <c r="E39" s="3"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2.75" customHeight="1" s="162">
      <c r="A40" s="1" t="n"/>
      <c r="B40" s="2" t="n"/>
      <c r="C40" s="2" t="n"/>
      <c r="D40" s="2" t="n"/>
      <c r="E40" s="3"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2.75" customHeight="1" s="162">
      <c r="A41" s="1" t="n"/>
      <c r="B41" s="2" t="n"/>
      <c r="C41" s="2" t="n"/>
      <c r="D41" s="2" t="n"/>
      <c r="E41" s="3"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2.75" customHeight="1" s="162">
      <c r="A42" s="1" t="n"/>
      <c r="B42" s="2" t="n"/>
      <c r="C42" s="2" t="n"/>
      <c r="D42" s="2" t="n"/>
      <c r="E42" s="3"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2.75" customHeight="1" s="162">
      <c r="A43" s="1" t="n"/>
      <c r="B43" s="2" t="n"/>
      <c r="C43" s="2" t="n"/>
      <c r="D43" s="2" t="n"/>
      <c r="E43" s="3"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2.75" customHeight="1" s="162">
      <c r="A44" s="1" t="n"/>
      <c r="B44" s="2" t="n"/>
      <c r="C44" s="2" t="n"/>
      <c r="D44" s="2" t="n"/>
      <c r="E44" s="3"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2.75" customHeight="1" s="162">
      <c r="A45" s="1" t="n"/>
      <c r="B45" s="2" t="n"/>
      <c r="C45" s="2" t="n"/>
      <c r="D45" s="2" t="n"/>
      <c r="E45" s="3"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2.75" customHeight="1" s="162">
      <c r="A46" s="1" t="n"/>
      <c r="B46" s="2" t="n"/>
      <c r="C46" s="2" t="n"/>
      <c r="D46" s="2" t="n"/>
      <c r="E46" s="3"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2.75" customHeight="1" s="162">
      <c r="A47" s="1" t="n"/>
      <c r="B47" s="2" t="n"/>
      <c r="C47" s="2" t="n"/>
      <c r="D47" s="2" t="n"/>
      <c r="E47" s="3"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2.75" customHeight="1" s="162">
      <c r="A48" s="1" t="n"/>
      <c r="B48" s="2" t="n"/>
      <c r="C48" s="2" t="n"/>
      <c r="D48" s="2" t="n"/>
      <c r="E48" s="3"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2.75" customHeight="1" s="162">
      <c r="A49" s="1" t="n"/>
      <c r="B49" s="2" t="n"/>
      <c r="C49" s="2" t="n"/>
      <c r="D49" s="2" t="n"/>
      <c r="E49" s="3"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2.75" customHeight="1" s="162">
      <c r="A50" s="1" t="n"/>
      <c r="B50" s="2" t="n"/>
      <c r="C50" s="2" t="n"/>
      <c r="D50" s="2" t="n"/>
      <c r="E50" s="3"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2.75" customHeight="1" s="162">
      <c r="A51" s="1" t="n"/>
      <c r="B51" s="2" t="n"/>
      <c r="C51" s="2" t="n"/>
      <c r="D51" s="2" t="n"/>
      <c r="E51" s="3"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2.75" customHeight="1" s="162">
      <c r="A52" s="1" t="n"/>
      <c r="B52" s="2" t="n"/>
      <c r="C52" s="2" t="n"/>
      <c r="D52" s="2" t="n"/>
      <c r="E52" s="3"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2.75" customHeight="1" s="162">
      <c r="A53" s="1" t="n"/>
      <c r="B53" s="2" t="n"/>
      <c r="C53" s="2" t="n"/>
      <c r="D53" s="2" t="n"/>
      <c r="E53" s="3"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2.75" customHeight="1" s="162">
      <c r="A54" s="1" t="n"/>
      <c r="B54" s="2" t="n"/>
      <c r="C54" s="2" t="n"/>
      <c r="D54" s="2" t="n"/>
      <c r="E54" s="3"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2.75" customHeight="1" s="162">
      <c r="A55" s="1" t="n"/>
      <c r="B55" s="2" t="n"/>
      <c r="C55" s="2" t="n"/>
      <c r="D55" s="2" t="n"/>
      <c r="E55" s="3"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2.75" customHeight="1" s="162">
      <c r="A56" s="1" t="n"/>
      <c r="B56" s="2" t="n"/>
      <c r="C56" s="2" t="n"/>
      <c r="D56" s="2" t="n"/>
      <c r="E56" s="3"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2.75" customHeight="1" s="162">
      <c r="A57" s="1" t="n"/>
      <c r="B57" s="2" t="n"/>
      <c r="C57" s="2" t="n"/>
      <c r="D57" s="2" t="n"/>
      <c r="E57" s="3"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2.75" customHeight="1" s="162">
      <c r="A58" s="1" t="n"/>
      <c r="B58" s="2" t="n"/>
      <c r="C58" s="2" t="n"/>
      <c r="D58" s="2" t="n"/>
      <c r="E58" s="3"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2.75" customHeight="1" s="162">
      <c r="A59" s="1" t="n"/>
      <c r="B59" s="2" t="n"/>
      <c r="C59" s="2" t="n"/>
      <c r="D59" s="2" t="n"/>
      <c r="E59" s="3"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2.75" customHeight="1" s="162">
      <c r="A60" s="1" t="n"/>
      <c r="B60" s="2" t="n"/>
      <c r="C60" s="2" t="n"/>
      <c r="D60" s="2" t="n"/>
      <c r="E60" s="3"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2.75" customHeight="1" s="162">
      <c r="A61" s="1" t="n"/>
      <c r="B61" s="2" t="n"/>
      <c r="C61" s="2" t="n"/>
      <c r="D61" s="2" t="n"/>
      <c r="E61" s="3"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2.75" customHeight="1" s="162">
      <c r="A62" s="1" t="n"/>
      <c r="B62" s="2" t="n"/>
      <c r="C62" s="2" t="n"/>
      <c r="D62" s="2" t="n"/>
      <c r="E62" s="3"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2.75" customHeight="1" s="162">
      <c r="A63" s="1" t="n"/>
      <c r="B63" s="2" t="n"/>
      <c r="C63" s="2" t="n"/>
      <c r="D63" s="2" t="n"/>
      <c r="E63" s="3"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2.75" customHeight="1" s="162">
      <c r="A64" s="1" t="n"/>
      <c r="B64" s="2" t="n"/>
      <c r="C64" s="2" t="n"/>
      <c r="D64" s="2" t="n"/>
      <c r="E64" s="3"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2.75" customHeight="1" s="162">
      <c r="A65" s="1" t="n"/>
      <c r="B65" s="2" t="n"/>
      <c r="C65" s="2" t="n"/>
      <c r="D65" s="2" t="n"/>
      <c r="E65" s="3"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2.75" customHeight="1" s="162">
      <c r="A66" s="1" t="n"/>
      <c r="B66" s="2" t="n"/>
      <c r="C66" s="2" t="n"/>
      <c r="D66" s="2" t="n"/>
      <c r="E66" s="3"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2.75" customHeight="1" s="162">
      <c r="A67" s="1" t="n"/>
      <c r="B67" s="2" t="n"/>
      <c r="C67" s="2" t="n"/>
      <c r="D67" s="2" t="n"/>
      <c r="E67" s="3"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2.75" customHeight="1" s="162">
      <c r="A68" s="1" t="n"/>
      <c r="B68" s="2" t="n"/>
      <c r="C68" s="2" t="n"/>
      <c r="D68" s="2" t="n"/>
      <c r="E68" s="3"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2.75" customHeight="1" s="162">
      <c r="A69" s="1" t="n"/>
      <c r="B69" s="2" t="n"/>
      <c r="C69" s="2" t="n"/>
      <c r="D69" s="2" t="n"/>
      <c r="E69" s="3"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2.75" customHeight="1" s="162">
      <c r="A70" s="1" t="n"/>
      <c r="B70" s="2" t="n"/>
      <c r="C70" s="2" t="n"/>
      <c r="D70" s="2" t="n"/>
      <c r="E70" s="3"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2.75" customHeight="1" s="162">
      <c r="A71" s="1" t="n"/>
      <c r="B71" s="2" t="n"/>
      <c r="C71" s="2" t="n"/>
      <c r="D71" s="2" t="n"/>
      <c r="E71" s="3"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2.75" customHeight="1" s="162">
      <c r="A72" s="1" t="n"/>
      <c r="B72" s="2" t="n"/>
      <c r="C72" s="2" t="n"/>
      <c r="D72" s="2" t="n"/>
      <c r="E72" s="3"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2.75" customHeight="1" s="162">
      <c r="A73" s="1" t="n"/>
      <c r="B73" s="2" t="n"/>
      <c r="C73" s="2" t="n"/>
      <c r="D73" s="2" t="n"/>
      <c r="E73" s="3"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2.75" customHeight="1" s="162">
      <c r="A74" s="1" t="n"/>
      <c r="B74" s="2" t="n"/>
      <c r="C74" s="2" t="n"/>
      <c r="D74" s="2" t="n"/>
      <c r="E74" s="3"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2.75" customHeight="1" s="162">
      <c r="A75" s="1" t="n"/>
      <c r="B75" s="2" t="n"/>
      <c r="C75" s="2" t="n"/>
      <c r="D75" s="2" t="n"/>
      <c r="E75" s="3"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2.75" customHeight="1" s="162">
      <c r="A76" s="1" t="n"/>
      <c r="B76" s="2" t="n"/>
      <c r="C76" s="2" t="n"/>
      <c r="D76" s="2" t="n"/>
      <c r="E76" s="3"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2.75" customHeight="1" s="162">
      <c r="A77" s="1" t="n"/>
      <c r="B77" s="2" t="n"/>
      <c r="C77" s="2" t="n"/>
      <c r="D77" s="2" t="n"/>
      <c r="E77" s="3"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2.75" customHeight="1" s="162">
      <c r="A78" s="1" t="n"/>
      <c r="B78" s="2" t="n"/>
      <c r="C78" s="2" t="n"/>
      <c r="D78" s="2" t="n"/>
      <c r="E78" s="3"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2.75" customHeight="1" s="162">
      <c r="A79" s="1" t="n"/>
      <c r="B79" s="2" t="n"/>
      <c r="C79" s="2" t="n"/>
      <c r="D79" s="2" t="n"/>
      <c r="E79" s="3"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2.75" customHeight="1" s="162">
      <c r="A80" s="1" t="n"/>
      <c r="B80" s="2" t="n"/>
      <c r="C80" s="2" t="n"/>
      <c r="D80" s="2" t="n"/>
      <c r="E80" s="3"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2.75" customHeight="1" s="162">
      <c r="A81" s="1" t="n"/>
      <c r="B81" s="2" t="n"/>
      <c r="C81" s="2" t="n"/>
      <c r="D81" s="2" t="n"/>
      <c r="E81" s="3"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162">
      <c r="A82" s="1" t="n"/>
      <c r="B82" s="2" t="n"/>
      <c r="C82" s="2" t="n"/>
      <c r="D82" s="2" t="n"/>
      <c r="E82" s="3"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162">
      <c r="A83" s="1" t="n"/>
      <c r="B83" s="2" t="n"/>
      <c r="C83" s="2" t="n"/>
      <c r="D83" s="2" t="n"/>
      <c r="E83" s="3"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162">
      <c r="A84" s="1" t="n"/>
      <c r="B84" s="2" t="n"/>
      <c r="C84" s="2" t="n"/>
      <c r="D84" s="2" t="n"/>
      <c r="E84" s="3"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162">
      <c r="A85" s="1" t="n"/>
      <c r="B85" s="2" t="n"/>
      <c r="C85" s="2" t="n"/>
      <c r="D85" s="2" t="n"/>
      <c r="E85" s="3"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162">
      <c r="A86" s="1" t="n"/>
      <c r="B86" s="2" t="n"/>
      <c r="C86" s="2" t="n"/>
      <c r="D86" s="2" t="n"/>
      <c r="E86" s="3"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162">
      <c r="A87" s="1" t="n"/>
      <c r="B87" s="2" t="n"/>
      <c r="C87" s="2" t="n"/>
      <c r="D87" s="2" t="n"/>
      <c r="E87" s="3"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162">
      <c r="A88" s="1" t="n"/>
      <c r="B88" s="2" t="n"/>
      <c r="C88" s="2" t="n"/>
      <c r="D88" s="2" t="n"/>
      <c r="E88" s="3"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162">
      <c r="A89" s="1" t="n"/>
      <c r="B89" s="2" t="n"/>
      <c r="C89" s="2" t="n"/>
      <c r="D89" s="2" t="n"/>
      <c r="E89" s="3"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162">
      <c r="A90" s="1" t="n"/>
      <c r="B90" s="2" t="n"/>
      <c r="C90" s="2" t="n"/>
      <c r="D90" s="2" t="n"/>
      <c r="E90" s="3"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162">
      <c r="A91" s="1" t="n"/>
      <c r="B91" s="2" t="n"/>
      <c r="C91" s="2" t="n"/>
      <c r="D91" s="2" t="n"/>
      <c r="E91" s="3"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162">
      <c r="A92" s="1" t="n"/>
      <c r="B92" s="2" t="n"/>
      <c r="C92" s="2" t="n"/>
      <c r="D92" s="2" t="n"/>
      <c r="E92" s="3"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162">
      <c r="A93" s="1" t="n"/>
      <c r="B93" s="2" t="n"/>
      <c r="C93" s="2" t="n"/>
      <c r="D93" s="2" t="n"/>
      <c r="E93" s="3"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162">
      <c r="A94" s="1" t="n"/>
      <c r="B94" s="2" t="n"/>
      <c r="C94" s="2" t="n"/>
      <c r="D94" s="2" t="n"/>
      <c r="E94" s="3"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162">
      <c r="A95" s="1" t="n"/>
      <c r="B95" s="2" t="n"/>
      <c r="C95" s="2" t="n"/>
      <c r="D95" s="2" t="n"/>
      <c r="E95" s="3"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162">
      <c r="A96" s="1" t="n"/>
      <c r="B96" s="2" t="n"/>
      <c r="C96" s="2" t="n"/>
      <c r="D96" s="2" t="n"/>
      <c r="E96" s="3"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162">
      <c r="A97" s="1" t="n"/>
      <c r="B97" s="2" t="n"/>
      <c r="C97" s="2" t="n"/>
      <c r="D97" s="2" t="n"/>
      <c r="E97" s="3"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162">
      <c r="A98" s="1" t="n"/>
      <c r="B98" s="2" t="n"/>
      <c r="C98" s="2" t="n"/>
      <c r="D98" s="2" t="n"/>
      <c r="E98" s="3"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162">
      <c r="A99" s="1" t="n"/>
      <c r="B99" s="2" t="n"/>
      <c r="C99" s="2" t="n"/>
      <c r="D99" s="2" t="n"/>
      <c r="E99" s="3"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162">
      <c r="A100" s="1" t="n"/>
      <c r="B100" s="2" t="n"/>
      <c r="C100" s="2" t="n"/>
      <c r="D100" s="2" t="n"/>
      <c r="E100" s="3"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162">
      <c r="A101" s="1" t="n"/>
      <c r="B101" s="2" t="n"/>
      <c r="C101" s="2" t="n"/>
      <c r="D101" s="2" t="n"/>
      <c r="E101" s="3"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162">
      <c r="A102" s="1" t="n"/>
      <c r="B102" s="2" t="n"/>
      <c r="C102" s="2" t="n"/>
      <c r="D102" s="2" t="n"/>
      <c r="E102" s="3"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162">
      <c r="A103" s="1" t="n"/>
      <c r="B103" s="2" t="n"/>
      <c r="C103" s="2" t="n"/>
      <c r="D103" s="2" t="n"/>
      <c r="E103" s="3"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162">
      <c r="A104" s="1" t="n"/>
      <c r="B104" s="2" t="n"/>
      <c r="C104" s="2" t="n"/>
      <c r="D104" s="2" t="n"/>
      <c r="E104" s="3"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162">
      <c r="A105" s="1" t="n"/>
      <c r="B105" s="2" t="n"/>
      <c r="C105" s="2" t="n"/>
      <c r="D105" s="2" t="n"/>
      <c r="E105" s="3"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162">
      <c r="A106" s="1" t="n"/>
      <c r="B106" s="2" t="n"/>
      <c r="C106" s="2" t="n"/>
      <c r="D106" s="2" t="n"/>
      <c r="E106" s="3"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162">
      <c r="A107" s="1" t="n"/>
      <c r="B107" s="2" t="n"/>
      <c r="C107" s="2" t="n"/>
      <c r="D107" s="2" t="n"/>
      <c r="E107" s="3"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162">
      <c r="A108" s="1" t="n"/>
      <c r="B108" s="2" t="n"/>
      <c r="C108" s="2" t="n"/>
      <c r="D108" s="2" t="n"/>
      <c r="E108" s="3"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162">
      <c r="A109" s="1" t="n"/>
      <c r="B109" s="2" t="n"/>
      <c r="C109" s="2" t="n"/>
      <c r="D109" s="2" t="n"/>
      <c r="E109" s="3"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162">
      <c r="A110" s="1" t="n"/>
      <c r="B110" s="2" t="n"/>
      <c r="C110" s="2" t="n"/>
      <c r="D110" s="2" t="n"/>
      <c r="E110" s="3"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162">
      <c r="A111" s="1" t="n"/>
      <c r="B111" s="2" t="n"/>
      <c r="C111" s="2" t="n"/>
      <c r="D111" s="2" t="n"/>
      <c r="E111" s="3"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162">
      <c r="A112" s="1" t="n"/>
      <c r="B112" s="2" t="n"/>
      <c r="C112" s="2" t="n"/>
      <c r="D112" s="2" t="n"/>
      <c r="E112" s="3"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162">
      <c r="A113" s="1" t="n"/>
      <c r="B113" s="2" t="n"/>
      <c r="C113" s="2" t="n"/>
      <c r="D113" s="2" t="n"/>
      <c r="E113" s="3"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162">
      <c r="A114" s="1" t="n"/>
      <c r="B114" s="2" t="n"/>
      <c r="C114" s="2" t="n"/>
      <c r="D114" s="2" t="n"/>
      <c r="E114" s="3"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162">
      <c r="A115" s="1" t="n"/>
      <c r="B115" s="2" t="n"/>
      <c r="C115" s="2" t="n"/>
      <c r="D115" s="2" t="n"/>
      <c r="E115" s="3"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162">
      <c r="A116" s="1" t="n"/>
      <c r="B116" s="2" t="n"/>
      <c r="C116" s="2" t="n"/>
      <c r="D116" s="2" t="n"/>
      <c r="E116" s="3"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162">
      <c r="A117" s="1" t="n"/>
      <c r="B117" s="2" t="n"/>
      <c r="C117" s="2" t="n"/>
      <c r="D117" s="2" t="n"/>
      <c r="E117" s="3"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162">
      <c r="A118" s="1" t="n"/>
      <c r="B118" s="2" t="n"/>
      <c r="C118" s="2" t="n"/>
      <c r="D118" s="2" t="n"/>
      <c r="E118" s="3"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162">
      <c r="A119" s="1" t="n"/>
      <c r="B119" s="2" t="n"/>
      <c r="C119" s="2" t="n"/>
      <c r="D119" s="2" t="n"/>
      <c r="E119" s="3"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162">
      <c r="A120" s="1" t="n"/>
      <c r="B120" s="2" t="n"/>
      <c r="C120" s="2" t="n"/>
      <c r="D120" s="2" t="n"/>
      <c r="E120" s="3"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162">
      <c r="A121" s="1" t="n"/>
      <c r="B121" s="2" t="n"/>
      <c r="C121" s="2" t="n"/>
      <c r="D121" s="2" t="n"/>
      <c r="E121" s="3"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162">
      <c r="A122" s="1" t="n"/>
      <c r="B122" s="2" t="n"/>
      <c r="C122" s="2" t="n"/>
      <c r="D122" s="2" t="n"/>
      <c r="E122" s="3"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162">
      <c r="A123" s="1" t="n"/>
      <c r="B123" s="2" t="n"/>
      <c r="C123" s="2" t="n"/>
      <c r="D123" s="2" t="n"/>
      <c r="E123" s="3"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162">
      <c r="A124" s="1" t="n"/>
      <c r="B124" s="2" t="n"/>
      <c r="C124" s="2" t="n"/>
      <c r="D124" s="2" t="n"/>
      <c r="E124" s="3"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162">
      <c r="A125" s="1" t="n"/>
      <c r="B125" s="2" t="n"/>
      <c r="C125" s="2" t="n"/>
      <c r="D125" s="2" t="n"/>
      <c r="E125" s="3"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162">
      <c r="A126" s="1" t="n"/>
      <c r="B126" s="2" t="n"/>
      <c r="C126" s="2" t="n"/>
      <c r="D126" s="2" t="n"/>
      <c r="E126" s="3"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162">
      <c r="A127" s="1" t="n"/>
      <c r="B127" s="2" t="n"/>
      <c r="C127" s="2" t="n"/>
      <c r="D127" s="2" t="n"/>
      <c r="E127" s="3"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162">
      <c r="A128" s="1" t="n"/>
      <c r="B128" s="2" t="n"/>
      <c r="C128" s="2" t="n"/>
      <c r="D128" s="2" t="n"/>
      <c r="E128" s="3"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162">
      <c r="A129" s="1" t="n"/>
      <c r="B129" s="2" t="n"/>
      <c r="C129" s="2" t="n"/>
      <c r="D129" s="2" t="n"/>
      <c r="E129" s="3"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162">
      <c r="A130" s="1" t="n"/>
      <c r="B130" s="2" t="n"/>
      <c r="C130" s="2" t="n"/>
      <c r="D130" s="2" t="n"/>
      <c r="E130" s="3"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162">
      <c r="A131" s="1" t="n"/>
      <c r="B131" s="2" t="n"/>
      <c r="C131" s="2" t="n"/>
      <c r="D131" s="2" t="n"/>
      <c r="E131" s="3"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162">
      <c r="A132" s="1" t="n"/>
      <c r="B132" s="2" t="n"/>
      <c r="C132" s="2" t="n"/>
      <c r="D132" s="2" t="n"/>
      <c r="E132" s="3"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162">
      <c r="A133" s="1" t="n"/>
      <c r="B133" s="2" t="n"/>
      <c r="C133" s="2" t="n"/>
      <c r="D133" s="2" t="n"/>
      <c r="E133" s="3"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162">
      <c r="A134" s="1" t="n"/>
      <c r="B134" s="2" t="n"/>
      <c r="C134" s="2" t="n"/>
      <c r="D134" s="2" t="n"/>
      <c r="E134" s="3"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162">
      <c r="A135" s="1" t="n"/>
      <c r="B135" s="2" t="n"/>
      <c r="C135" s="2" t="n"/>
      <c r="D135" s="2" t="n"/>
      <c r="E135" s="3"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162">
      <c r="A136" s="1" t="n"/>
      <c r="B136" s="2" t="n"/>
      <c r="C136" s="2" t="n"/>
      <c r="D136" s="2" t="n"/>
      <c r="E136" s="3"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162">
      <c r="A137" s="1" t="n"/>
      <c r="B137" s="2" t="n"/>
      <c r="C137" s="2" t="n"/>
      <c r="D137" s="2" t="n"/>
      <c r="E137" s="3"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162">
      <c r="A138" s="1" t="n"/>
      <c r="B138" s="2" t="n"/>
      <c r="C138" s="2" t="n"/>
      <c r="D138" s="2" t="n"/>
      <c r="E138" s="3"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162">
      <c r="A139" s="1" t="n"/>
      <c r="B139" s="2" t="n"/>
      <c r="C139" s="2" t="n"/>
      <c r="D139" s="2" t="n"/>
      <c r="E139" s="3"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162">
      <c r="A140" s="1" t="n"/>
      <c r="B140" s="2" t="n"/>
      <c r="C140" s="2" t="n"/>
      <c r="D140" s="2" t="n"/>
      <c r="E140" s="3"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162">
      <c r="A141" s="1" t="n"/>
      <c r="B141" s="2" t="n"/>
      <c r="C141" s="2" t="n"/>
      <c r="D141" s="2" t="n"/>
      <c r="E141" s="3"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162">
      <c r="A142" s="1" t="n"/>
      <c r="B142" s="2" t="n"/>
      <c r="C142" s="2" t="n"/>
      <c r="D142" s="2" t="n"/>
      <c r="E142" s="3"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162">
      <c r="A143" s="1" t="n"/>
      <c r="B143" s="2" t="n"/>
      <c r="C143" s="2" t="n"/>
      <c r="D143" s="2" t="n"/>
      <c r="E143" s="3"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162">
      <c r="A144" s="1" t="n"/>
      <c r="B144" s="2" t="n"/>
      <c r="C144" s="2" t="n"/>
      <c r="D144" s="2" t="n"/>
      <c r="E144" s="3"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162">
      <c r="A145" s="1" t="n"/>
      <c r="B145" s="2" t="n"/>
      <c r="C145" s="2" t="n"/>
      <c r="D145" s="2" t="n"/>
      <c r="E145" s="3"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162">
      <c r="A146" s="1" t="n"/>
      <c r="B146" s="2" t="n"/>
      <c r="C146" s="2" t="n"/>
      <c r="D146" s="2" t="n"/>
      <c r="E146" s="3"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162">
      <c r="A147" s="1" t="n"/>
      <c r="B147" s="2" t="n"/>
      <c r="C147" s="2" t="n"/>
      <c r="D147" s="2" t="n"/>
      <c r="E147" s="3"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162">
      <c r="A148" s="1" t="n"/>
      <c r="B148" s="2" t="n"/>
      <c r="C148" s="2" t="n"/>
      <c r="D148" s="2" t="n"/>
      <c r="E148" s="3"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162">
      <c r="A149" s="1" t="n"/>
      <c r="B149" s="2" t="n"/>
      <c r="C149" s="2" t="n"/>
      <c r="D149" s="2" t="n"/>
      <c r="E149" s="3"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162">
      <c r="A150" s="1" t="n"/>
      <c r="B150" s="2" t="n"/>
      <c r="C150" s="2" t="n"/>
      <c r="D150" s="2" t="n"/>
      <c r="E150" s="3"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162">
      <c r="A151" s="1" t="n"/>
      <c r="B151" s="2" t="n"/>
      <c r="C151" s="2" t="n"/>
      <c r="D151" s="2" t="n"/>
      <c r="E151" s="3"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162">
      <c r="A152" s="1" t="n"/>
      <c r="B152" s="2" t="n"/>
      <c r="C152" s="2" t="n"/>
      <c r="D152" s="2" t="n"/>
      <c r="E152" s="3"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162">
      <c r="A153" s="1" t="n"/>
      <c r="B153" s="2" t="n"/>
      <c r="C153" s="2" t="n"/>
      <c r="D153" s="2" t="n"/>
      <c r="E153" s="3"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162">
      <c r="A154" s="1" t="n"/>
      <c r="B154" s="2" t="n"/>
      <c r="C154" s="2" t="n"/>
      <c r="D154" s="2" t="n"/>
      <c r="E154" s="3"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162">
      <c r="A155" s="1" t="n"/>
      <c r="B155" s="2" t="n"/>
      <c r="C155" s="2" t="n"/>
      <c r="D155" s="2" t="n"/>
      <c r="E155" s="3"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162">
      <c r="A156" s="1" t="n"/>
      <c r="B156" s="2" t="n"/>
      <c r="C156" s="2" t="n"/>
      <c r="D156" s="2" t="n"/>
      <c r="E156" s="3"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162">
      <c r="A157" s="1" t="n"/>
      <c r="B157" s="2" t="n"/>
      <c r="C157" s="2" t="n"/>
      <c r="D157" s="2" t="n"/>
      <c r="E157" s="3"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162">
      <c r="A158" s="1" t="n"/>
      <c r="B158" s="2" t="n"/>
      <c r="C158" s="2" t="n"/>
      <c r="D158" s="2" t="n"/>
      <c r="E158" s="3"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162">
      <c r="A159" s="1" t="n"/>
      <c r="B159" s="2" t="n"/>
      <c r="C159" s="2" t="n"/>
      <c r="D159" s="2" t="n"/>
      <c r="E159" s="3"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162">
      <c r="A160" s="1" t="n"/>
      <c r="B160" s="2" t="n"/>
      <c r="C160" s="2" t="n"/>
      <c r="D160" s="2" t="n"/>
      <c r="E160" s="3"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162">
      <c r="A161" s="1" t="n"/>
      <c r="B161" s="2" t="n"/>
      <c r="C161" s="2" t="n"/>
      <c r="D161" s="2" t="n"/>
      <c r="E161" s="3"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162">
      <c r="A162" s="1" t="n"/>
      <c r="B162" s="2" t="n"/>
      <c r="C162" s="2" t="n"/>
      <c r="D162" s="2" t="n"/>
      <c r="E162" s="3"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162">
      <c r="A163" s="1" t="n"/>
      <c r="B163" s="2" t="n"/>
      <c r="C163" s="2" t="n"/>
      <c r="D163" s="2" t="n"/>
      <c r="E163" s="3"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162">
      <c r="A164" s="1" t="n"/>
      <c r="B164" s="2" t="n"/>
      <c r="C164" s="2" t="n"/>
      <c r="D164" s="2" t="n"/>
      <c r="E164" s="3"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162">
      <c r="A165" s="1" t="n"/>
      <c r="B165" s="2" t="n"/>
      <c r="C165" s="2" t="n"/>
      <c r="D165" s="2" t="n"/>
      <c r="E165" s="3"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162">
      <c r="A166" s="1" t="n"/>
      <c r="B166" s="2" t="n"/>
      <c r="C166" s="2" t="n"/>
      <c r="D166" s="2" t="n"/>
      <c r="E166" s="3"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162">
      <c r="A167" s="1" t="n"/>
      <c r="B167" s="2" t="n"/>
      <c r="C167" s="2" t="n"/>
      <c r="D167" s="2" t="n"/>
      <c r="E167" s="3"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162">
      <c r="A168" s="1" t="n"/>
      <c r="B168" s="2" t="n"/>
      <c r="C168" s="2" t="n"/>
      <c r="D168" s="2" t="n"/>
      <c r="E168" s="3"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162">
      <c r="A169" s="1" t="n"/>
      <c r="B169" s="2" t="n"/>
      <c r="C169" s="2" t="n"/>
      <c r="D169" s="2" t="n"/>
      <c r="E169" s="3"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162">
      <c r="A170" s="1" t="n"/>
      <c r="B170" s="2" t="n"/>
      <c r="C170" s="2" t="n"/>
      <c r="D170" s="2" t="n"/>
      <c r="E170" s="3"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162">
      <c r="A171" s="1" t="n"/>
      <c r="B171" s="2" t="n"/>
      <c r="C171" s="2" t="n"/>
      <c r="D171" s="2" t="n"/>
      <c r="E171" s="3"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162">
      <c r="A172" s="1" t="n"/>
      <c r="B172" s="2" t="n"/>
      <c r="C172" s="2" t="n"/>
      <c r="D172" s="2" t="n"/>
      <c r="E172" s="3"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162">
      <c r="A173" s="1" t="n"/>
      <c r="B173" s="2" t="n"/>
      <c r="C173" s="2" t="n"/>
      <c r="D173" s="2" t="n"/>
      <c r="E173" s="3"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162">
      <c r="A174" s="1" t="n"/>
      <c r="B174" s="2" t="n"/>
      <c r="C174" s="2" t="n"/>
      <c r="D174" s="2" t="n"/>
      <c r="E174" s="3"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162">
      <c r="A175" s="1" t="n"/>
      <c r="B175" s="2" t="n"/>
      <c r="C175" s="2" t="n"/>
      <c r="D175" s="2" t="n"/>
      <c r="E175" s="3"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162">
      <c r="A176" s="1" t="n"/>
      <c r="B176" s="2" t="n"/>
      <c r="C176" s="2" t="n"/>
      <c r="D176" s="2" t="n"/>
      <c r="E176" s="3"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162">
      <c r="A177" s="1" t="n"/>
      <c r="B177" s="2" t="n"/>
      <c r="C177" s="2" t="n"/>
      <c r="D177" s="2" t="n"/>
      <c r="E177" s="3"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162">
      <c r="A178" s="1" t="n"/>
      <c r="B178" s="2" t="n"/>
      <c r="C178" s="2" t="n"/>
      <c r="D178" s="2" t="n"/>
      <c r="E178" s="3"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162">
      <c r="A179" s="1" t="n"/>
      <c r="B179" s="2" t="n"/>
      <c r="C179" s="2" t="n"/>
      <c r="D179" s="2" t="n"/>
      <c r="E179" s="3"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162">
      <c r="A180" s="1" t="n"/>
      <c r="B180" s="2" t="n"/>
      <c r="C180" s="2" t="n"/>
      <c r="D180" s="2" t="n"/>
      <c r="E180" s="3"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162">
      <c r="A181" s="1" t="n"/>
      <c r="B181" s="2" t="n"/>
      <c r="C181" s="2" t="n"/>
      <c r="D181" s="2" t="n"/>
      <c r="E181" s="3"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162">
      <c r="A182" s="1" t="n"/>
      <c r="B182" s="2" t="n"/>
      <c r="C182" s="2" t="n"/>
      <c r="D182" s="2" t="n"/>
      <c r="E182" s="3"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162">
      <c r="A183" s="1" t="n"/>
      <c r="B183" s="2" t="n"/>
      <c r="C183" s="2" t="n"/>
      <c r="D183" s="2" t="n"/>
      <c r="E183" s="3"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162">
      <c r="A184" s="1" t="n"/>
      <c r="B184" s="2" t="n"/>
      <c r="C184" s="2" t="n"/>
      <c r="D184" s="2" t="n"/>
      <c r="E184" s="3"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162">
      <c r="A185" s="1" t="n"/>
      <c r="B185" s="2" t="n"/>
      <c r="C185" s="2" t="n"/>
      <c r="D185" s="2" t="n"/>
      <c r="E185" s="3"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162">
      <c r="A186" s="1" t="n"/>
      <c r="B186" s="2" t="n"/>
      <c r="C186" s="2" t="n"/>
      <c r="D186" s="2" t="n"/>
      <c r="E186" s="3"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162">
      <c r="A187" s="1" t="n"/>
      <c r="B187" s="2" t="n"/>
      <c r="C187" s="2" t="n"/>
      <c r="D187" s="2" t="n"/>
      <c r="E187" s="3"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162">
      <c r="A188" s="1" t="n"/>
      <c r="B188" s="2" t="n"/>
      <c r="C188" s="2" t="n"/>
      <c r="D188" s="2" t="n"/>
      <c r="E188" s="3"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162">
      <c r="A189" s="1" t="n"/>
      <c r="B189" s="2" t="n"/>
      <c r="C189" s="2" t="n"/>
      <c r="D189" s="2" t="n"/>
      <c r="E189" s="3"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162">
      <c r="A190" s="1" t="n"/>
      <c r="B190" s="2" t="n"/>
      <c r="C190" s="2" t="n"/>
      <c r="D190" s="2" t="n"/>
      <c r="E190" s="3"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162">
      <c r="A191" s="1" t="n"/>
      <c r="B191" s="2" t="n"/>
      <c r="C191" s="2" t="n"/>
      <c r="D191" s="2" t="n"/>
      <c r="E191" s="3"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162">
      <c r="A192" s="1" t="n"/>
      <c r="B192" s="2" t="n"/>
      <c r="C192" s="2" t="n"/>
      <c r="D192" s="2" t="n"/>
      <c r="E192" s="3"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162">
      <c r="A193" s="1" t="n"/>
      <c r="B193" s="2" t="n"/>
      <c r="C193" s="2" t="n"/>
      <c r="D193" s="2" t="n"/>
      <c r="E193" s="3"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162">
      <c r="A194" s="1" t="n"/>
      <c r="B194" s="2" t="n"/>
      <c r="C194" s="2" t="n"/>
      <c r="D194" s="2" t="n"/>
      <c r="E194" s="3"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162">
      <c r="A195" s="1" t="n"/>
      <c r="B195" s="2" t="n"/>
      <c r="C195" s="2" t="n"/>
      <c r="D195" s="2" t="n"/>
      <c r="E195" s="3"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162">
      <c r="A196" s="1" t="n"/>
      <c r="B196" s="2" t="n"/>
      <c r="C196" s="2" t="n"/>
      <c r="D196" s="2" t="n"/>
      <c r="E196" s="3"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162">
      <c r="A197" s="1" t="n"/>
      <c r="B197" s="2" t="n"/>
      <c r="C197" s="2" t="n"/>
      <c r="D197" s="2" t="n"/>
      <c r="E197" s="3"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162">
      <c r="A198" s="1" t="n"/>
      <c r="B198" s="2" t="n"/>
      <c r="C198" s="2" t="n"/>
      <c r="D198" s="2" t="n"/>
      <c r="E198" s="3"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162">
      <c r="A199" s="1" t="n"/>
      <c r="B199" s="2" t="n"/>
      <c r="C199" s="2" t="n"/>
      <c r="D199" s="2" t="n"/>
      <c r="E199" s="3"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162">
      <c r="A200" s="1" t="n"/>
      <c r="B200" s="2" t="n"/>
      <c r="C200" s="2" t="n"/>
      <c r="D200" s="2" t="n"/>
      <c r="E200" s="3"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162">
      <c r="A201" s="1" t="n"/>
      <c r="B201" s="2" t="n"/>
      <c r="C201" s="2" t="n"/>
      <c r="D201" s="2" t="n"/>
      <c r="E201" s="3"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162">
      <c r="A202" s="1" t="n"/>
      <c r="B202" s="2" t="n"/>
      <c r="C202" s="2" t="n"/>
      <c r="D202" s="2" t="n"/>
      <c r="E202" s="3"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162">
      <c r="A203" s="1" t="n"/>
      <c r="B203" s="2" t="n"/>
      <c r="C203" s="2" t="n"/>
      <c r="D203" s="2" t="n"/>
      <c r="E203" s="3"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162">
      <c r="A204" s="1" t="n"/>
      <c r="B204" s="2" t="n"/>
      <c r="C204" s="2" t="n"/>
      <c r="D204" s="2" t="n"/>
      <c r="E204" s="3"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162">
      <c r="A205" s="1" t="n"/>
      <c r="B205" s="2" t="n"/>
      <c r="C205" s="2" t="n"/>
      <c r="D205" s="2" t="n"/>
      <c r="E205" s="3"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162">
      <c r="A206" s="1" t="n"/>
      <c r="B206" s="2" t="n"/>
      <c r="C206" s="2" t="n"/>
      <c r="D206" s="2" t="n"/>
      <c r="E206" s="3"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162">
      <c r="A207" s="1" t="n"/>
      <c r="B207" s="2" t="n"/>
      <c r="C207" s="2" t="n"/>
      <c r="D207" s="2" t="n"/>
      <c r="E207" s="3"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162">
      <c r="A208" s="1" t="n"/>
      <c r="B208" s="2" t="n"/>
      <c r="C208" s="2" t="n"/>
      <c r="D208" s="2" t="n"/>
      <c r="E208" s="3"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162">
      <c r="A209" s="1" t="n"/>
      <c r="B209" s="2" t="n"/>
      <c r="C209" s="2" t="n"/>
      <c r="D209" s="2" t="n"/>
      <c r="E209" s="3"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162">
      <c r="A210" s="1" t="n"/>
      <c r="B210" s="2" t="n"/>
      <c r="C210" s="2" t="n"/>
      <c r="D210" s="2" t="n"/>
      <c r="E210" s="3"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162">
      <c r="A211" s="1" t="n"/>
      <c r="B211" s="2" t="n"/>
      <c r="C211" s="2" t="n"/>
      <c r="D211" s="2" t="n"/>
      <c r="E211" s="3"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162">
      <c r="A212" s="1" t="n"/>
      <c r="B212" s="2" t="n"/>
      <c r="C212" s="2" t="n"/>
      <c r="D212" s="2" t="n"/>
      <c r="E212" s="3"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162">
      <c r="A213" s="1" t="n"/>
      <c r="B213" s="2" t="n"/>
      <c r="C213" s="2" t="n"/>
      <c r="D213" s="2" t="n"/>
      <c r="E213" s="3"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162">
      <c r="A214" s="1" t="n"/>
      <c r="B214" s="2" t="n"/>
      <c r="C214" s="2" t="n"/>
      <c r="D214" s="2" t="n"/>
      <c r="E214" s="3"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162">
      <c r="A215" s="1" t="n"/>
      <c r="B215" s="2" t="n"/>
      <c r="C215" s="2" t="n"/>
      <c r="D215" s="2" t="n"/>
      <c r="E215" s="3"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162">
      <c r="A216" s="1" t="n"/>
      <c r="B216" s="2" t="n"/>
      <c r="C216" s="2" t="n"/>
      <c r="D216" s="2" t="n"/>
      <c r="E216" s="3"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162">
      <c r="A217" s="1" t="n"/>
      <c r="B217" s="2" t="n"/>
      <c r="C217" s="2" t="n"/>
      <c r="D217" s="2" t="n"/>
      <c r="E217" s="3"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162">
      <c r="A218" s="1" t="n"/>
      <c r="B218" s="2" t="n"/>
      <c r="C218" s="2" t="n"/>
      <c r="D218" s="2" t="n"/>
      <c r="E218" s="3"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162">
      <c r="A219" s="1" t="n"/>
      <c r="B219" s="2" t="n"/>
      <c r="C219" s="2" t="n"/>
      <c r="D219" s="2" t="n"/>
      <c r="E219" s="3"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162">
      <c r="A220" s="1" t="n"/>
      <c r="B220" s="2" t="n"/>
      <c r="C220" s="2" t="n"/>
      <c r="D220" s="2" t="n"/>
      <c r="E220" s="3"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62">
      <c r="E221" s="45" t="n"/>
    </row>
    <row r="222" ht="15.75" customHeight="1" s="162">
      <c r="E222" s="45" t="n"/>
    </row>
    <row r="223" ht="15.75" customHeight="1" s="162">
      <c r="E223" s="45" t="n"/>
    </row>
    <row r="224" ht="15.75" customHeight="1" s="162">
      <c r="E224" s="45" t="n"/>
    </row>
    <row r="225" ht="15.75" customHeight="1" s="162">
      <c r="E225" s="45" t="n"/>
    </row>
    <row r="226" ht="15.75" customHeight="1" s="162">
      <c r="E226" s="45" t="n"/>
    </row>
    <row r="227" ht="15.75" customHeight="1" s="162">
      <c r="E227" s="45" t="n"/>
    </row>
    <row r="228" ht="15.75" customHeight="1" s="162">
      <c r="E228" s="45" t="n"/>
    </row>
    <row r="229" ht="15.75" customHeight="1" s="162">
      <c r="E229" s="45" t="n"/>
    </row>
    <row r="230" ht="15.75" customHeight="1" s="162">
      <c r="E230" s="45" t="n"/>
    </row>
    <row r="231" ht="15.75" customHeight="1" s="162">
      <c r="E231" s="45" t="n"/>
    </row>
    <row r="232" ht="15.75" customHeight="1" s="162">
      <c r="E232" s="45" t="n"/>
    </row>
    <row r="233" ht="15.75" customHeight="1" s="162">
      <c r="E233" s="45" t="n"/>
    </row>
    <row r="234" ht="15.75" customHeight="1" s="162">
      <c r="E234" s="45" t="n"/>
    </row>
    <row r="235" ht="15.75" customHeight="1" s="162">
      <c r="E235" s="45" t="n"/>
    </row>
    <row r="236" ht="15.75" customHeight="1" s="162">
      <c r="E236" s="45" t="n"/>
    </row>
    <row r="237" ht="15.75" customHeight="1" s="162">
      <c r="E237" s="45" t="n"/>
    </row>
    <row r="238" ht="15.75" customHeight="1" s="162">
      <c r="E238" s="45" t="n"/>
    </row>
    <row r="239" ht="15.75" customHeight="1" s="162">
      <c r="E239" s="45" t="n"/>
    </row>
    <row r="240" ht="15.75" customHeight="1" s="162">
      <c r="E240" s="45" t="n"/>
    </row>
    <row r="241" ht="15.75" customHeight="1" s="162">
      <c r="E241" s="45" t="n"/>
    </row>
    <row r="242" ht="15.75" customHeight="1" s="162">
      <c r="E242" s="45" t="n"/>
    </row>
    <row r="243" ht="15.75" customHeight="1" s="162">
      <c r="E243" s="45" t="n"/>
    </row>
    <row r="244" ht="15.75" customHeight="1" s="162">
      <c r="E244" s="45" t="n"/>
    </row>
    <row r="245" ht="15.75" customHeight="1" s="162">
      <c r="E245" s="45" t="n"/>
    </row>
    <row r="246" ht="15.75" customHeight="1" s="162">
      <c r="E246" s="45" t="n"/>
    </row>
    <row r="247" ht="15.75" customHeight="1" s="162">
      <c r="E247" s="45" t="n"/>
    </row>
    <row r="248" ht="15.75" customHeight="1" s="162">
      <c r="E248" s="45" t="n"/>
    </row>
    <row r="249" ht="15.75" customHeight="1" s="162">
      <c r="E249" s="45" t="n"/>
    </row>
    <row r="250" ht="15.75" customHeight="1" s="162">
      <c r="E250" s="45" t="n"/>
    </row>
    <row r="251" ht="15.75" customHeight="1" s="162">
      <c r="E251" s="45" t="n"/>
    </row>
    <row r="252" ht="15.75" customHeight="1" s="162">
      <c r="E252" s="45" t="n"/>
    </row>
    <row r="253" ht="15.75" customHeight="1" s="162">
      <c r="E253" s="45" t="n"/>
    </row>
    <row r="254" ht="15.75" customHeight="1" s="162">
      <c r="E254" s="45" t="n"/>
    </row>
    <row r="255" ht="15.75" customHeight="1" s="162">
      <c r="E255" s="45" t="n"/>
    </row>
    <row r="256" ht="15.75" customHeight="1" s="162">
      <c r="E256" s="45" t="n"/>
    </row>
    <row r="257" ht="15.75" customHeight="1" s="162">
      <c r="E257" s="45" t="n"/>
    </row>
    <row r="258" ht="15.75" customHeight="1" s="162">
      <c r="E258" s="45" t="n"/>
    </row>
    <row r="259" ht="15.75" customHeight="1" s="162">
      <c r="E259" s="45" t="n"/>
    </row>
    <row r="260" ht="15.75" customHeight="1" s="162">
      <c r="E260" s="45" t="n"/>
    </row>
    <row r="261" ht="15.75" customHeight="1" s="162">
      <c r="E261" s="45" t="n"/>
    </row>
    <row r="262" ht="15.75" customHeight="1" s="162">
      <c r="E262" s="45" t="n"/>
    </row>
    <row r="263" ht="15.75" customHeight="1" s="162">
      <c r="E263" s="45" t="n"/>
    </row>
    <row r="264" ht="15.75" customHeight="1" s="162">
      <c r="E264" s="45" t="n"/>
    </row>
    <row r="265" ht="15.75" customHeight="1" s="162">
      <c r="E265" s="45" t="n"/>
    </row>
    <row r="266" ht="15.75" customHeight="1" s="162">
      <c r="E266" s="45" t="n"/>
    </row>
    <row r="267" ht="15.75" customHeight="1" s="162">
      <c r="E267" s="45" t="n"/>
    </row>
    <row r="268" ht="15.75" customHeight="1" s="162">
      <c r="E268" s="45" t="n"/>
    </row>
    <row r="269" ht="15.75" customHeight="1" s="162">
      <c r="E269" s="45" t="n"/>
    </row>
    <row r="270" ht="15.75" customHeight="1" s="162">
      <c r="E270" s="45" t="n"/>
    </row>
    <row r="271" ht="15.75" customHeight="1" s="162">
      <c r="E271" s="45" t="n"/>
    </row>
    <row r="272" ht="15.75" customHeight="1" s="162">
      <c r="E272" s="45" t="n"/>
    </row>
    <row r="273" ht="15.75" customHeight="1" s="162">
      <c r="E273" s="45" t="n"/>
    </row>
    <row r="274" ht="15.75" customHeight="1" s="162">
      <c r="E274" s="45" t="n"/>
    </row>
    <row r="275" ht="15.75" customHeight="1" s="162">
      <c r="E275" s="45" t="n"/>
    </row>
    <row r="276" ht="15.75" customHeight="1" s="162">
      <c r="E276" s="45" t="n"/>
    </row>
    <row r="277" ht="15.75" customHeight="1" s="162">
      <c r="E277" s="45" t="n"/>
    </row>
    <row r="278" ht="15.75" customHeight="1" s="162">
      <c r="E278" s="45" t="n"/>
    </row>
    <row r="279" ht="15.75" customHeight="1" s="162">
      <c r="E279" s="45" t="n"/>
    </row>
    <row r="280" ht="15.75" customHeight="1" s="162">
      <c r="E280" s="45" t="n"/>
    </row>
    <row r="281" ht="15.75" customHeight="1" s="162">
      <c r="E281" s="45" t="n"/>
    </row>
    <row r="282" ht="15.75" customHeight="1" s="162">
      <c r="E282" s="45" t="n"/>
    </row>
    <row r="283" ht="15.75" customHeight="1" s="162">
      <c r="E283" s="45" t="n"/>
    </row>
    <row r="284" ht="15.75" customHeight="1" s="162">
      <c r="E284" s="45" t="n"/>
    </row>
    <row r="285" ht="15.75" customHeight="1" s="162">
      <c r="E285" s="45" t="n"/>
    </row>
    <row r="286" ht="15.75" customHeight="1" s="162">
      <c r="E286" s="45" t="n"/>
    </row>
    <row r="287" ht="15.75" customHeight="1" s="162">
      <c r="E287" s="45" t="n"/>
    </row>
    <row r="288" ht="15.75" customHeight="1" s="162">
      <c r="E288" s="45" t="n"/>
    </row>
    <row r="289" ht="15.75" customHeight="1" s="162">
      <c r="E289" s="45" t="n"/>
    </row>
    <row r="290" ht="15.75" customHeight="1" s="162">
      <c r="E290" s="45" t="n"/>
    </row>
    <row r="291" ht="15.75" customHeight="1" s="162">
      <c r="E291" s="45" t="n"/>
    </row>
    <row r="292" ht="15.75" customHeight="1" s="162">
      <c r="E292" s="45" t="n"/>
    </row>
    <row r="293" ht="15.75" customHeight="1" s="162">
      <c r="E293" s="45" t="n"/>
    </row>
    <row r="294" ht="15.75" customHeight="1" s="162">
      <c r="E294" s="45" t="n"/>
    </row>
    <row r="295" ht="15.75" customHeight="1" s="162">
      <c r="E295" s="45" t="n"/>
    </row>
    <row r="296" ht="15.75" customHeight="1" s="162">
      <c r="E296" s="45" t="n"/>
    </row>
    <row r="297" ht="15.75" customHeight="1" s="162">
      <c r="E297" s="45" t="n"/>
    </row>
    <row r="298" ht="15.75" customHeight="1" s="162">
      <c r="E298" s="45" t="n"/>
    </row>
    <row r="299" ht="15.75" customHeight="1" s="162">
      <c r="E299" s="45" t="n"/>
    </row>
    <row r="300" ht="15.75" customHeight="1" s="162">
      <c r="E300" s="45" t="n"/>
    </row>
    <row r="301" ht="15.75" customHeight="1" s="162">
      <c r="E301" s="45" t="n"/>
    </row>
    <row r="302" ht="15.75" customHeight="1" s="162">
      <c r="E302" s="45" t="n"/>
    </row>
    <row r="303" ht="15.75" customHeight="1" s="162">
      <c r="E303" s="45" t="n"/>
    </row>
    <row r="304" ht="15.75" customHeight="1" s="162">
      <c r="E304" s="45" t="n"/>
    </row>
    <row r="305" ht="15.75" customHeight="1" s="162">
      <c r="E305" s="45" t="n"/>
    </row>
    <row r="306" ht="15.75" customHeight="1" s="162">
      <c r="E306" s="45" t="n"/>
    </row>
    <row r="307" ht="15.75" customHeight="1" s="162">
      <c r="E307" s="45" t="n"/>
    </row>
    <row r="308" ht="15.75" customHeight="1" s="162">
      <c r="E308" s="45" t="n"/>
    </row>
    <row r="309" ht="15.75" customHeight="1" s="162">
      <c r="E309" s="45" t="n"/>
    </row>
    <row r="310" ht="15.75" customHeight="1" s="162">
      <c r="E310" s="45" t="n"/>
    </row>
    <row r="311" ht="15.75" customHeight="1" s="162">
      <c r="E311" s="45" t="n"/>
    </row>
    <row r="312" ht="15.75" customHeight="1" s="162">
      <c r="E312" s="45" t="n"/>
    </row>
    <row r="313" ht="15.75" customHeight="1" s="162">
      <c r="E313" s="45" t="n"/>
    </row>
    <row r="314" ht="15.75" customHeight="1" s="162">
      <c r="E314" s="45" t="n"/>
    </row>
    <row r="315" ht="15.75" customHeight="1" s="162">
      <c r="E315" s="45" t="n"/>
    </row>
    <row r="316" ht="15.75" customHeight="1" s="162">
      <c r="E316" s="45" t="n"/>
    </row>
    <row r="317" ht="15.75" customHeight="1" s="162">
      <c r="E317" s="45" t="n"/>
    </row>
    <row r="318" ht="15.75" customHeight="1" s="162">
      <c r="E318" s="45" t="n"/>
    </row>
    <row r="319" ht="15.75" customHeight="1" s="162">
      <c r="E319" s="45" t="n"/>
    </row>
    <row r="320" ht="15.75" customHeight="1" s="162">
      <c r="E320" s="45" t="n"/>
    </row>
    <row r="321" ht="15.75" customHeight="1" s="162">
      <c r="E321" s="45" t="n"/>
    </row>
    <row r="322" ht="15.75" customHeight="1" s="162">
      <c r="E322" s="45" t="n"/>
    </row>
    <row r="323" ht="15.75" customHeight="1" s="162">
      <c r="E323" s="45" t="n"/>
    </row>
    <row r="324" ht="15.75" customHeight="1" s="162">
      <c r="E324" s="45" t="n"/>
    </row>
    <row r="325" ht="15.75" customHeight="1" s="162">
      <c r="E325" s="45" t="n"/>
    </row>
    <row r="326" ht="15.75" customHeight="1" s="162">
      <c r="E326" s="45" t="n"/>
    </row>
    <row r="327" ht="15.75" customHeight="1" s="162">
      <c r="E327" s="45" t="n"/>
    </row>
    <row r="328" ht="15.75" customHeight="1" s="162">
      <c r="E328" s="45" t="n"/>
    </row>
    <row r="329" ht="15.75" customHeight="1" s="162">
      <c r="E329" s="45" t="n"/>
    </row>
    <row r="330" ht="15.75" customHeight="1" s="162">
      <c r="E330" s="45" t="n"/>
    </row>
    <row r="331" ht="15.75" customHeight="1" s="162">
      <c r="E331" s="45" t="n"/>
    </row>
    <row r="332" ht="15.75" customHeight="1" s="162">
      <c r="E332" s="45" t="n"/>
    </row>
    <row r="333" ht="15.75" customHeight="1" s="162">
      <c r="E333" s="45" t="n"/>
    </row>
    <row r="334" ht="15.75" customHeight="1" s="162">
      <c r="E334" s="45" t="n"/>
    </row>
    <row r="335" ht="15.75" customHeight="1" s="162">
      <c r="E335" s="45" t="n"/>
    </row>
    <row r="336" ht="15.75" customHeight="1" s="162">
      <c r="E336" s="45" t="n"/>
    </row>
    <row r="337" ht="15.75" customHeight="1" s="162">
      <c r="E337" s="45" t="n"/>
    </row>
    <row r="338" ht="15.75" customHeight="1" s="162">
      <c r="E338" s="45" t="n"/>
    </row>
    <row r="339" ht="15.75" customHeight="1" s="162">
      <c r="E339" s="45" t="n"/>
    </row>
    <row r="340" ht="15.75" customHeight="1" s="162">
      <c r="E340" s="45" t="n"/>
    </row>
    <row r="341" ht="15.75" customHeight="1" s="162">
      <c r="E341" s="45" t="n"/>
    </row>
    <row r="342" ht="15.75" customHeight="1" s="162">
      <c r="E342" s="45" t="n"/>
    </row>
    <row r="343" ht="15.75" customHeight="1" s="162">
      <c r="E343" s="45" t="n"/>
    </row>
    <row r="344" ht="15.75" customHeight="1" s="162">
      <c r="E344" s="45" t="n"/>
    </row>
    <row r="345" ht="15.75" customHeight="1" s="162">
      <c r="E345" s="45" t="n"/>
    </row>
    <row r="346" ht="15.75" customHeight="1" s="162">
      <c r="E346" s="45" t="n"/>
    </row>
    <row r="347" ht="15.75" customHeight="1" s="162">
      <c r="E347" s="45" t="n"/>
    </row>
    <row r="348" ht="15.75" customHeight="1" s="162">
      <c r="E348" s="45" t="n"/>
    </row>
    <row r="349" ht="15.75" customHeight="1" s="162">
      <c r="E349" s="45" t="n"/>
    </row>
    <row r="350" ht="15.75" customHeight="1" s="162">
      <c r="E350" s="45" t="n"/>
    </row>
    <row r="351" ht="15.75" customHeight="1" s="162">
      <c r="E351" s="45" t="n"/>
    </row>
    <row r="352" ht="15.75" customHeight="1" s="162">
      <c r="E352" s="45" t="n"/>
    </row>
    <row r="353" ht="15.75" customHeight="1" s="162">
      <c r="E353" s="45" t="n"/>
    </row>
    <row r="354" ht="15.75" customHeight="1" s="162">
      <c r="E354" s="45" t="n"/>
    </row>
    <row r="355" ht="15.75" customHeight="1" s="162">
      <c r="E355" s="45" t="n"/>
    </row>
    <row r="356" ht="15.75" customHeight="1" s="162">
      <c r="E356" s="45" t="n"/>
    </row>
    <row r="357" ht="15.75" customHeight="1" s="162">
      <c r="E357" s="45" t="n"/>
    </row>
    <row r="358" ht="15.75" customHeight="1" s="162">
      <c r="E358" s="45" t="n"/>
    </row>
    <row r="359" ht="15.75" customHeight="1" s="162">
      <c r="E359" s="45" t="n"/>
    </row>
    <row r="360" ht="15.75" customHeight="1" s="162">
      <c r="E360" s="45" t="n"/>
    </row>
    <row r="361" ht="15.75" customHeight="1" s="162">
      <c r="E361" s="45" t="n"/>
    </row>
    <row r="362" ht="15.75" customHeight="1" s="162">
      <c r="E362" s="45" t="n"/>
    </row>
    <row r="363" ht="15.75" customHeight="1" s="162">
      <c r="E363" s="45" t="n"/>
    </row>
    <row r="364" ht="15.75" customHeight="1" s="162">
      <c r="E364" s="45" t="n"/>
    </row>
    <row r="365" ht="15.75" customHeight="1" s="162">
      <c r="E365" s="45" t="n"/>
    </row>
    <row r="366" ht="15.75" customHeight="1" s="162">
      <c r="E366" s="45" t="n"/>
    </row>
    <row r="367" ht="15.75" customHeight="1" s="162">
      <c r="E367" s="45" t="n"/>
    </row>
    <row r="368" ht="15.75" customHeight="1" s="162">
      <c r="E368" s="45" t="n"/>
    </row>
    <row r="369" ht="15.75" customHeight="1" s="162">
      <c r="E369" s="45" t="n"/>
    </row>
    <row r="370" ht="15.75" customHeight="1" s="162">
      <c r="E370" s="45" t="n"/>
    </row>
    <row r="371" ht="15.75" customHeight="1" s="162">
      <c r="E371" s="45" t="n"/>
    </row>
    <row r="372" ht="15.75" customHeight="1" s="162">
      <c r="E372" s="45" t="n"/>
    </row>
    <row r="373" ht="15.75" customHeight="1" s="162">
      <c r="E373" s="45" t="n"/>
    </row>
    <row r="374" ht="15.75" customHeight="1" s="162">
      <c r="E374" s="45" t="n"/>
    </row>
    <row r="375" ht="15.75" customHeight="1" s="162">
      <c r="E375" s="45" t="n"/>
    </row>
    <row r="376" ht="15.75" customHeight="1" s="162">
      <c r="E376" s="45" t="n"/>
    </row>
    <row r="377" ht="15.75" customHeight="1" s="162">
      <c r="E377" s="45" t="n"/>
    </row>
    <row r="378" ht="15.75" customHeight="1" s="162">
      <c r="E378" s="45" t="n"/>
    </row>
    <row r="379" ht="15.75" customHeight="1" s="162">
      <c r="E379" s="45" t="n"/>
    </row>
    <row r="380" ht="15.75" customHeight="1" s="162">
      <c r="E380" s="45" t="n"/>
    </row>
    <row r="381" ht="15.75" customHeight="1" s="162">
      <c r="E381" s="45" t="n"/>
    </row>
    <row r="382" ht="15.75" customHeight="1" s="162">
      <c r="E382" s="45" t="n"/>
    </row>
    <row r="383" ht="15.75" customHeight="1" s="162">
      <c r="E383" s="45" t="n"/>
    </row>
    <row r="384" ht="15.75" customHeight="1" s="162">
      <c r="E384" s="45" t="n"/>
    </row>
    <row r="385" ht="15.75" customHeight="1" s="162">
      <c r="E385" s="45" t="n"/>
    </row>
    <row r="386" ht="15.75" customHeight="1" s="162">
      <c r="E386" s="45" t="n"/>
    </row>
    <row r="387" ht="15.75" customHeight="1" s="162">
      <c r="E387" s="45" t="n"/>
    </row>
    <row r="388" ht="15.75" customHeight="1" s="162">
      <c r="E388" s="45" t="n"/>
    </row>
    <row r="389" ht="15.75" customHeight="1" s="162">
      <c r="E389" s="45" t="n"/>
    </row>
    <row r="390" ht="15.75" customHeight="1" s="162">
      <c r="E390" s="45" t="n"/>
    </row>
    <row r="391" ht="15.75" customHeight="1" s="162">
      <c r="E391" s="45" t="n"/>
    </row>
    <row r="392" ht="15.75" customHeight="1" s="162">
      <c r="E392" s="45" t="n"/>
    </row>
    <row r="393" ht="15.75" customHeight="1" s="162">
      <c r="E393" s="45" t="n"/>
    </row>
    <row r="394" ht="15.75" customHeight="1" s="162">
      <c r="E394" s="45" t="n"/>
    </row>
    <row r="395" ht="15.75" customHeight="1" s="162">
      <c r="E395" s="45" t="n"/>
    </row>
    <row r="396" ht="15.75" customHeight="1" s="162">
      <c r="E396" s="45" t="n"/>
    </row>
    <row r="397" ht="15.75" customHeight="1" s="162">
      <c r="E397" s="45" t="n"/>
    </row>
    <row r="398" ht="15.75" customHeight="1" s="162">
      <c r="E398" s="45" t="n"/>
    </row>
    <row r="399" ht="15.75" customHeight="1" s="162">
      <c r="E399" s="45" t="n"/>
    </row>
    <row r="400" ht="15.75" customHeight="1" s="162">
      <c r="E400" s="45" t="n"/>
    </row>
    <row r="401" ht="15.75" customHeight="1" s="162">
      <c r="E401" s="45" t="n"/>
    </row>
    <row r="402" ht="15.75" customHeight="1" s="162">
      <c r="E402" s="45" t="n"/>
    </row>
    <row r="403" ht="15.75" customHeight="1" s="162">
      <c r="E403" s="45" t="n"/>
    </row>
    <row r="404" ht="15.75" customHeight="1" s="162">
      <c r="E404" s="45" t="n"/>
    </row>
    <row r="405" ht="15.75" customHeight="1" s="162">
      <c r="E405" s="45" t="n"/>
    </row>
    <row r="406" ht="15.75" customHeight="1" s="162">
      <c r="E406" s="45" t="n"/>
    </row>
    <row r="407" ht="15.75" customHeight="1" s="162">
      <c r="E407" s="45" t="n"/>
    </row>
    <row r="408" ht="15.75" customHeight="1" s="162">
      <c r="E408" s="45" t="n"/>
    </row>
    <row r="409" ht="15.75" customHeight="1" s="162">
      <c r="E409" s="45" t="n"/>
    </row>
    <row r="410" ht="15.75" customHeight="1" s="162">
      <c r="E410" s="45" t="n"/>
    </row>
    <row r="411" ht="15.75" customHeight="1" s="162">
      <c r="E411" s="45" t="n"/>
    </row>
    <row r="412" ht="15.75" customHeight="1" s="162">
      <c r="E412" s="45" t="n"/>
    </row>
    <row r="413" ht="15.75" customHeight="1" s="162">
      <c r="E413" s="45" t="n"/>
    </row>
    <row r="414" ht="15.75" customHeight="1" s="162">
      <c r="E414" s="45" t="n"/>
    </row>
    <row r="415" ht="15.75" customHeight="1" s="162">
      <c r="E415" s="45" t="n"/>
    </row>
    <row r="416" ht="15.75" customHeight="1" s="162">
      <c r="E416" s="45" t="n"/>
    </row>
    <row r="417" ht="15.75" customHeight="1" s="162">
      <c r="E417" s="45" t="n"/>
    </row>
    <row r="418" ht="15.75" customHeight="1" s="162">
      <c r="E418" s="45" t="n"/>
    </row>
    <row r="419" ht="15.75" customHeight="1" s="162">
      <c r="E419" s="45" t="n"/>
    </row>
    <row r="420" ht="15.75" customHeight="1" s="162">
      <c r="E420" s="45" t="n"/>
    </row>
    <row r="421" ht="15.75" customHeight="1" s="162">
      <c r="E421" s="45" t="n"/>
    </row>
    <row r="422" ht="15.75" customHeight="1" s="162">
      <c r="E422" s="45" t="n"/>
    </row>
    <row r="423" ht="15.75" customHeight="1" s="162">
      <c r="E423" s="45" t="n"/>
    </row>
    <row r="424" ht="15.75" customHeight="1" s="162">
      <c r="E424" s="45" t="n"/>
    </row>
    <row r="425" ht="15.75" customHeight="1" s="162">
      <c r="E425" s="45" t="n"/>
    </row>
    <row r="426" ht="15.75" customHeight="1" s="162">
      <c r="E426" s="45" t="n"/>
    </row>
    <row r="427" ht="15.75" customHeight="1" s="162">
      <c r="E427" s="45" t="n"/>
    </row>
    <row r="428" ht="15.75" customHeight="1" s="162">
      <c r="E428" s="45" t="n"/>
    </row>
    <row r="429" ht="15.75" customHeight="1" s="162">
      <c r="E429" s="45" t="n"/>
    </row>
    <row r="430" ht="15.75" customHeight="1" s="162">
      <c r="E430" s="45" t="n"/>
    </row>
    <row r="431" ht="15.75" customHeight="1" s="162">
      <c r="E431" s="45" t="n"/>
    </row>
    <row r="432" ht="15.75" customHeight="1" s="162">
      <c r="E432" s="45" t="n"/>
    </row>
    <row r="433" ht="15.75" customHeight="1" s="162">
      <c r="E433" s="45" t="n"/>
    </row>
    <row r="434" ht="15.75" customHeight="1" s="162">
      <c r="E434" s="45" t="n"/>
    </row>
    <row r="435" ht="15.75" customHeight="1" s="162">
      <c r="E435" s="45" t="n"/>
    </row>
    <row r="436" ht="15.75" customHeight="1" s="162">
      <c r="E436" s="45" t="n"/>
    </row>
    <row r="437" ht="15.75" customHeight="1" s="162">
      <c r="E437" s="45" t="n"/>
    </row>
    <row r="438" ht="15.75" customHeight="1" s="162">
      <c r="E438" s="45" t="n"/>
    </row>
    <row r="439" ht="15.75" customHeight="1" s="162">
      <c r="E439" s="45" t="n"/>
    </row>
    <row r="440" ht="15.75" customHeight="1" s="162">
      <c r="E440" s="45" t="n"/>
    </row>
    <row r="441" ht="15.75" customHeight="1" s="162">
      <c r="E441" s="45" t="n"/>
    </row>
    <row r="442" ht="15.75" customHeight="1" s="162">
      <c r="E442" s="45" t="n"/>
    </row>
    <row r="443" ht="15.75" customHeight="1" s="162">
      <c r="E443" s="45" t="n"/>
    </row>
    <row r="444" ht="15.75" customHeight="1" s="162">
      <c r="E444" s="45" t="n"/>
    </row>
    <row r="445" ht="15.75" customHeight="1" s="162">
      <c r="E445" s="45" t="n"/>
    </row>
    <row r="446" ht="15.75" customHeight="1" s="162">
      <c r="E446" s="45" t="n"/>
    </row>
    <row r="447" ht="15.75" customHeight="1" s="162">
      <c r="E447" s="45" t="n"/>
    </row>
    <row r="448" ht="15.75" customHeight="1" s="162">
      <c r="E448" s="45" t="n"/>
    </row>
    <row r="449" ht="15.75" customHeight="1" s="162">
      <c r="E449" s="45" t="n"/>
    </row>
    <row r="450" ht="15.75" customHeight="1" s="162">
      <c r="E450" s="45" t="n"/>
    </row>
    <row r="451" ht="15.75" customHeight="1" s="162">
      <c r="E451" s="45" t="n"/>
    </row>
    <row r="452" ht="15.75" customHeight="1" s="162">
      <c r="E452" s="45" t="n"/>
    </row>
    <row r="453" ht="15.75" customHeight="1" s="162">
      <c r="E453" s="45" t="n"/>
    </row>
    <row r="454" ht="15.75" customHeight="1" s="162">
      <c r="E454" s="45" t="n"/>
    </row>
    <row r="455" ht="15.75" customHeight="1" s="162">
      <c r="E455" s="45" t="n"/>
    </row>
    <row r="456" ht="15.75" customHeight="1" s="162">
      <c r="E456" s="45" t="n"/>
    </row>
    <row r="457" ht="15.75" customHeight="1" s="162">
      <c r="E457" s="45" t="n"/>
    </row>
    <row r="458" ht="15.75" customHeight="1" s="162">
      <c r="E458" s="45" t="n"/>
    </row>
    <row r="459" ht="15.75" customHeight="1" s="162">
      <c r="E459" s="45" t="n"/>
    </row>
    <row r="460" ht="15.75" customHeight="1" s="162">
      <c r="E460" s="45" t="n"/>
    </row>
    <row r="461" ht="15.75" customHeight="1" s="162">
      <c r="E461" s="45" t="n"/>
    </row>
    <row r="462" ht="15.75" customHeight="1" s="162">
      <c r="E462" s="45" t="n"/>
    </row>
    <row r="463" ht="15.75" customHeight="1" s="162">
      <c r="E463" s="45" t="n"/>
    </row>
    <row r="464" ht="15.75" customHeight="1" s="162">
      <c r="E464" s="45" t="n"/>
    </row>
    <row r="465" ht="15.75" customHeight="1" s="162">
      <c r="E465" s="45" t="n"/>
    </row>
    <row r="466" ht="15.75" customHeight="1" s="162">
      <c r="E466" s="45" t="n"/>
    </row>
    <row r="467" ht="15.75" customHeight="1" s="162">
      <c r="E467" s="45" t="n"/>
    </row>
    <row r="468" ht="15.75" customHeight="1" s="162">
      <c r="E468" s="45" t="n"/>
    </row>
    <row r="469" ht="15.75" customHeight="1" s="162">
      <c r="E469" s="45" t="n"/>
    </row>
    <row r="470" ht="15.75" customHeight="1" s="162">
      <c r="E470" s="45" t="n"/>
    </row>
    <row r="471" ht="15.75" customHeight="1" s="162">
      <c r="E471" s="45" t="n"/>
    </row>
    <row r="472" ht="15.75" customHeight="1" s="162">
      <c r="E472" s="45" t="n"/>
    </row>
    <row r="473" ht="15.75" customHeight="1" s="162">
      <c r="E473" s="45" t="n"/>
    </row>
    <row r="474" ht="15.75" customHeight="1" s="162">
      <c r="E474" s="45" t="n"/>
    </row>
    <row r="475" ht="15.75" customHeight="1" s="162">
      <c r="E475" s="45" t="n"/>
    </row>
    <row r="476" ht="15.75" customHeight="1" s="162">
      <c r="E476" s="45" t="n"/>
    </row>
    <row r="477" ht="15.75" customHeight="1" s="162">
      <c r="E477" s="45" t="n"/>
    </row>
    <row r="478" ht="15.75" customHeight="1" s="162">
      <c r="E478" s="45" t="n"/>
    </row>
    <row r="479" ht="15.75" customHeight="1" s="162">
      <c r="E479" s="45" t="n"/>
    </row>
    <row r="480" ht="15.75" customHeight="1" s="162">
      <c r="E480" s="45" t="n"/>
    </row>
    <row r="481" ht="15.75" customHeight="1" s="162">
      <c r="E481" s="45" t="n"/>
    </row>
    <row r="482" ht="15.75" customHeight="1" s="162">
      <c r="E482" s="45" t="n"/>
    </row>
    <row r="483" ht="15.75" customHeight="1" s="162">
      <c r="E483" s="45" t="n"/>
    </row>
    <row r="484" ht="15.75" customHeight="1" s="162">
      <c r="E484" s="45" t="n"/>
    </row>
    <row r="485" ht="15.75" customHeight="1" s="162">
      <c r="E485" s="45" t="n"/>
    </row>
    <row r="486" ht="15.75" customHeight="1" s="162">
      <c r="E486" s="45" t="n"/>
    </row>
    <row r="487" ht="15.75" customHeight="1" s="162">
      <c r="E487" s="45" t="n"/>
    </row>
    <row r="488" ht="15.75" customHeight="1" s="162">
      <c r="E488" s="45" t="n"/>
    </row>
    <row r="489" ht="15.75" customHeight="1" s="162">
      <c r="E489" s="45" t="n"/>
    </row>
    <row r="490" ht="15.75" customHeight="1" s="162">
      <c r="E490" s="45" t="n"/>
    </row>
    <row r="491" ht="15.75" customHeight="1" s="162">
      <c r="E491" s="45" t="n"/>
    </row>
    <row r="492" ht="15.75" customHeight="1" s="162">
      <c r="E492" s="45" t="n"/>
    </row>
    <row r="493" ht="15.75" customHeight="1" s="162">
      <c r="E493" s="45" t="n"/>
    </row>
    <row r="494" ht="15.75" customHeight="1" s="162">
      <c r="E494" s="45" t="n"/>
    </row>
    <row r="495" ht="15.75" customHeight="1" s="162">
      <c r="E495" s="45" t="n"/>
    </row>
    <row r="496" ht="15.75" customHeight="1" s="162">
      <c r="E496" s="45" t="n"/>
    </row>
    <row r="497" ht="15.75" customHeight="1" s="162">
      <c r="E497" s="45" t="n"/>
    </row>
    <row r="498" ht="15.75" customHeight="1" s="162">
      <c r="E498" s="45" t="n"/>
    </row>
    <row r="499" ht="15.75" customHeight="1" s="162">
      <c r="E499" s="45" t="n"/>
    </row>
    <row r="500" ht="15.75" customHeight="1" s="162">
      <c r="E500" s="45" t="n"/>
    </row>
    <row r="501" ht="15.75" customHeight="1" s="162">
      <c r="E501" s="45" t="n"/>
    </row>
    <row r="502" ht="15.75" customHeight="1" s="162">
      <c r="E502" s="45" t="n"/>
    </row>
    <row r="503" ht="15.75" customHeight="1" s="162">
      <c r="E503" s="45" t="n"/>
    </row>
    <row r="504" ht="15.75" customHeight="1" s="162">
      <c r="E504" s="45" t="n"/>
    </row>
    <row r="505" ht="15.75" customHeight="1" s="162">
      <c r="E505" s="45" t="n"/>
    </row>
    <row r="506" ht="15.75" customHeight="1" s="162">
      <c r="E506" s="45" t="n"/>
    </row>
    <row r="507" ht="15.75" customHeight="1" s="162">
      <c r="E507" s="45" t="n"/>
    </row>
    <row r="508" ht="15.75" customHeight="1" s="162">
      <c r="E508" s="45" t="n"/>
    </row>
    <row r="509" ht="15.75" customHeight="1" s="162">
      <c r="E509" s="45" t="n"/>
    </row>
    <row r="510" ht="15.75" customHeight="1" s="162">
      <c r="E510" s="45" t="n"/>
    </row>
    <row r="511" ht="15.75" customHeight="1" s="162">
      <c r="E511" s="45" t="n"/>
    </row>
    <row r="512" ht="15.75" customHeight="1" s="162">
      <c r="E512" s="45" t="n"/>
    </row>
    <row r="513" ht="15.75" customHeight="1" s="162">
      <c r="E513" s="45" t="n"/>
    </row>
    <row r="514" ht="15.75" customHeight="1" s="162">
      <c r="E514" s="45" t="n"/>
    </row>
    <row r="515" ht="15.75" customHeight="1" s="162">
      <c r="E515" s="45" t="n"/>
    </row>
    <row r="516" ht="15.75" customHeight="1" s="162">
      <c r="E516" s="45" t="n"/>
    </row>
    <row r="517" ht="15.75" customHeight="1" s="162">
      <c r="E517" s="45" t="n"/>
    </row>
    <row r="518" ht="15.75" customHeight="1" s="162">
      <c r="E518" s="45" t="n"/>
    </row>
    <row r="519" ht="15.75" customHeight="1" s="162">
      <c r="E519" s="45" t="n"/>
    </row>
    <row r="520" ht="15.75" customHeight="1" s="162">
      <c r="E520" s="45" t="n"/>
    </row>
    <row r="521" ht="15.75" customHeight="1" s="162">
      <c r="E521" s="45" t="n"/>
    </row>
    <row r="522" ht="15.75" customHeight="1" s="162">
      <c r="E522" s="45" t="n"/>
    </row>
    <row r="523" ht="15.75" customHeight="1" s="162">
      <c r="E523" s="45" t="n"/>
    </row>
    <row r="524" ht="15.75" customHeight="1" s="162">
      <c r="E524" s="45" t="n"/>
    </row>
    <row r="525" ht="15.75" customHeight="1" s="162">
      <c r="E525" s="45" t="n"/>
    </row>
    <row r="526" ht="15.75" customHeight="1" s="162">
      <c r="E526" s="45" t="n"/>
    </row>
    <row r="527" ht="15.75" customHeight="1" s="162">
      <c r="E527" s="45" t="n"/>
    </row>
    <row r="528" ht="15.75" customHeight="1" s="162">
      <c r="E528" s="45" t="n"/>
    </row>
    <row r="529" ht="15.75" customHeight="1" s="162">
      <c r="E529" s="45" t="n"/>
    </row>
    <row r="530" ht="15.75" customHeight="1" s="162">
      <c r="E530" s="45" t="n"/>
    </row>
    <row r="531" ht="15.75" customHeight="1" s="162">
      <c r="E531" s="45" t="n"/>
    </row>
    <row r="532" ht="15.75" customHeight="1" s="162">
      <c r="E532" s="45" t="n"/>
    </row>
    <row r="533" ht="15.75" customHeight="1" s="162">
      <c r="E533" s="45" t="n"/>
    </row>
    <row r="534" ht="15.75" customHeight="1" s="162">
      <c r="E534" s="45" t="n"/>
    </row>
    <row r="535" ht="15.75" customHeight="1" s="162">
      <c r="E535" s="45" t="n"/>
    </row>
    <row r="536" ht="15.75" customHeight="1" s="162">
      <c r="E536" s="45" t="n"/>
    </row>
    <row r="537" ht="15.75" customHeight="1" s="162">
      <c r="E537" s="45" t="n"/>
    </row>
    <row r="538" ht="15.75" customHeight="1" s="162">
      <c r="E538" s="45" t="n"/>
    </row>
    <row r="539" ht="15.75" customHeight="1" s="162">
      <c r="E539" s="45" t="n"/>
    </row>
    <row r="540" ht="15.75" customHeight="1" s="162">
      <c r="E540" s="45" t="n"/>
    </row>
    <row r="541" ht="15.75" customHeight="1" s="162">
      <c r="E541" s="45" t="n"/>
    </row>
    <row r="542" ht="15.75" customHeight="1" s="162">
      <c r="E542" s="45" t="n"/>
    </row>
    <row r="543" ht="15.75" customHeight="1" s="162">
      <c r="E543" s="45" t="n"/>
    </row>
    <row r="544" ht="15.75" customHeight="1" s="162">
      <c r="E544" s="45" t="n"/>
    </row>
    <row r="545" ht="15.75" customHeight="1" s="162">
      <c r="E545" s="45" t="n"/>
    </row>
    <row r="546" ht="15.75" customHeight="1" s="162">
      <c r="E546" s="45" t="n"/>
    </row>
    <row r="547" ht="15.75" customHeight="1" s="162">
      <c r="E547" s="45" t="n"/>
    </row>
    <row r="548" ht="15.75" customHeight="1" s="162">
      <c r="E548" s="45" t="n"/>
    </row>
    <row r="549" ht="15.75" customHeight="1" s="162">
      <c r="E549" s="45" t="n"/>
    </row>
    <row r="550" ht="15.75" customHeight="1" s="162">
      <c r="E550" s="45" t="n"/>
    </row>
    <row r="551" ht="15.75" customHeight="1" s="162">
      <c r="E551" s="45" t="n"/>
    </row>
    <row r="552" ht="15.75" customHeight="1" s="162">
      <c r="E552" s="45" t="n"/>
    </row>
    <row r="553" ht="15.75" customHeight="1" s="162">
      <c r="E553" s="45" t="n"/>
    </row>
    <row r="554" ht="15.75" customHeight="1" s="162">
      <c r="E554" s="45" t="n"/>
    </row>
    <row r="555" ht="15.75" customHeight="1" s="162">
      <c r="E555" s="45" t="n"/>
    </row>
    <row r="556" ht="15.75" customHeight="1" s="162">
      <c r="E556" s="45" t="n"/>
    </row>
    <row r="557" ht="15.75" customHeight="1" s="162">
      <c r="E557" s="45" t="n"/>
    </row>
    <row r="558" ht="15.75" customHeight="1" s="162">
      <c r="E558" s="45" t="n"/>
    </row>
    <row r="559" ht="15.75" customHeight="1" s="162">
      <c r="E559" s="45" t="n"/>
    </row>
    <row r="560" ht="15.75" customHeight="1" s="162">
      <c r="E560" s="45" t="n"/>
    </row>
    <row r="561" ht="15.75" customHeight="1" s="162">
      <c r="E561" s="45" t="n"/>
    </row>
    <row r="562" ht="15.75" customHeight="1" s="162">
      <c r="E562" s="45" t="n"/>
    </row>
    <row r="563" ht="15.75" customHeight="1" s="162">
      <c r="E563" s="45" t="n"/>
    </row>
    <row r="564" ht="15.75" customHeight="1" s="162">
      <c r="E564" s="45" t="n"/>
    </row>
    <row r="565" ht="15.75" customHeight="1" s="162">
      <c r="E565" s="45" t="n"/>
    </row>
    <row r="566" ht="15.75" customHeight="1" s="162">
      <c r="E566" s="45" t="n"/>
    </row>
    <row r="567" ht="15.75" customHeight="1" s="162">
      <c r="E567" s="45" t="n"/>
    </row>
    <row r="568" ht="15.75" customHeight="1" s="162">
      <c r="E568" s="45" t="n"/>
    </row>
    <row r="569" ht="15.75" customHeight="1" s="162">
      <c r="E569" s="45" t="n"/>
    </row>
    <row r="570" ht="15.75" customHeight="1" s="162">
      <c r="E570" s="45" t="n"/>
    </row>
    <row r="571" ht="15.75" customHeight="1" s="162">
      <c r="E571" s="45" t="n"/>
    </row>
    <row r="572" ht="15.75" customHeight="1" s="162">
      <c r="E572" s="45" t="n"/>
    </row>
    <row r="573" ht="15.75" customHeight="1" s="162">
      <c r="E573" s="45" t="n"/>
    </row>
    <row r="574" ht="15.75" customHeight="1" s="162">
      <c r="E574" s="45" t="n"/>
    </row>
    <row r="575" ht="15.75" customHeight="1" s="162">
      <c r="E575" s="45" t="n"/>
    </row>
    <row r="576" ht="15.75" customHeight="1" s="162">
      <c r="E576" s="45" t="n"/>
    </row>
    <row r="577" ht="15.75" customHeight="1" s="162">
      <c r="E577" s="45" t="n"/>
    </row>
    <row r="578" ht="15.75" customHeight="1" s="162">
      <c r="E578" s="45" t="n"/>
    </row>
    <row r="579" ht="15.75" customHeight="1" s="162">
      <c r="E579" s="45" t="n"/>
    </row>
    <row r="580" ht="15.75" customHeight="1" s="162">
      <c r="E580" s="45" t="n"/>
    </row>
    <row r="581" ht="15.75" customHeight="1" s="162">
      <c r="E581" s="45" t="n"/>
    </row>
    <row r="582" ht="15.75" customHeight="1" s="162">
      <c r="E582" s="45" t="n"/>
    </row>
    <row r="583" ht="15.75" customHeight="1" s="162">
      <c r="E583" s="45" t="n"/>
    </row>
    <row r="584" ht="15.75" customHeight="1" s="162">
      <c r="E584" s="45" t="n"/>
    </row>
    <row r="585" ht="15.75" customHeight="1" s="162">
      <c r="E585" s="45" t="n"/>
    </row>
    <row r="586" ht="15.75" customHeight="1" s="162">
      <c r="E586" s="45" t="n"/>
    </row>
    <row r="587" ht="15.75" customHeight="1" s="162">
      <c r="E587" s="45" t="n"/>
    </row>
    <row r="588" ht="15.75" customHeight="1" s="162">
      <c r="E588" s="45" t="n"/>
    </row>
    <row r="589" ht="15.75" customHeight="1" s="162">
      <c r="E589" s="45" t="n"/>
    </row>
    <row r="590" ht="15.75" customHeight="1" s="162">
      <c r="E590" s="45" t="n"/>
    </row>
    <row r="591" ht="15.75" customHeight="1" s="162">
      <c r="E591" s="45" t="n"/>
    </row>
    <row r="592" ht="15.75" customHeight="1" s="162">
      <c r="E592" s="45" t="n"/>
    </row>
    <row r="593" ht="15.75" customHeight="1" s="162">
      <c r="E593" s="45" t="n"/>
    </row>
    <row r="594" ht="15.75" customHeight="1" s="162">
      <c r="E594" s="45" t="n"/>
    </row>
    <row r="595" ht="15.75" customHeight="1" s="162">
      <c r="E595" s="45" t="n"/>
    </row>
    <row r="596" ht="15.75" customHeight="1" s="162">
      <c r="E596" s="45" t="n"/>
    </row>
    <row r="597" ht="15.75" customHeight="1" s="162">
      <c r="E597" s="45" t="n"/>
    </row>
    <row r="598" ht="15.75" customHeight="1" s="162">
      <c r="E598" s="45" t="n"/>
    </row>
    <row r="599" ht="15.75" customHeight="1" s="162">
      <c r="E599" s="45" t="n"/>
    </row>
    <row r="600" ht="15.75" customHeight="1" s="162">
      <c r="E600" s="45" t="n"/>
    </row>
    <row r="601" ht="15.75" customHeight="1" s="162">
      <c r="E601" s="45" t="n"/>
    </row>
    <row r="602" ht="15.75" customHeight="1" s="162">
      <c r="E602" s="45" t="n"/>
    </row>
    <row r="603" ht="15.75" customHeight="1" s="162">
      <c r="E603" s="45" t="n"/>
    </row>
    <row r="604" ht="15.75" customHeight="1" s="162">
      <c r="E604" s="45" t="n"/>
    </row>
    <row r="605" ht="15.75" customHeight="1" s="162">
      <c r="E605" s="45" t="n"/>
    </row>
    <row r="606" ht="15.75" customHeight="1" s="162">
      <c r="E606" s="45" t="n"/>
    </row>
    <row r="607" ht="15.75" customHeight="1" s="162">
      <c r="E607" s="45" t="n"/>
    </row>
    <row r="608" ht="15.75" customHeight="1" s="162">
      <c r="E608" s="45" t="n"/>
    </row>
    <row r="609" ht="15.75" customHeight="1" s="162">
      <c r="E609" s="45" t="n"/>
    </row>
    <row r="610" ht="15.75" customHeight="1" s="162">
      <c r="E610" s="45" t="n"/>
    </row>
    <row r="611" ht="15.75" customHeight="1" s="162">
      <c r="E611" s="45" t="n"/>
    </row>
    <row r="612" ht="15.75" customHeight="1" s="162">
      <c r="E612" s="45" t="n"/>
    </row>
    <row r="613" ht="15.75" customHeight="1" s="162">
      <c r="E613" s="45" t="n"/>
    </row>
    <row r="614" ht="15.75" customHeight="1" s="162">
      <c r="E614" s="45" t="n"/>
    </row>
    <row r="615" ht="15.75" customHeight="1" s="162">
      <c r="E615" s="45" t="n"/>
    </row>
    <row r="616" ht="15.75" customHeight="1" s="162">
      <c r="E616" s="45" t="n"/>
    </row>
    <row r="617" ht="15.75" customHeight="1" s="162">
      <c r="E617" s="45" t="n"/>
    </row>
    <row r="618" ht="15.75" customHeight="1" s="162">
      <c r="E618" s="45" t="n"/>
    </row>
    <row r="619" ht="15.75" customHeight="1" s="162">
      <c r="E619" s="45" t="n"/>
    </row>
    <row r="620" ht="15.75" customHeight="1" s="162">
      <c r="E620" s="45" t="n"/>
    </row>
    <row r="621" ht="15.75" customHeight="1" s="162">
      <c r="E621" s="45" t="n"/>
    </row>
    <row r="622" ht="15.75" customHeight="1" s="162">
      <c r="E622" s="45" t="n"/>
    </row>
    <row r="623" ht="15.75" customHeight="1" s="162">
      <c r="E623" s="45" t="n"/>
    </row>
    <row r="624" ht="15.75" customHeight="1" s="162">
      <c r="E624" s="45" t="n"/>
    </row>
    <row r="625" ht="15.75" customHeight="1" s="162">
      <c r="E625" s="45" t="n"/>
    </row>
    <row r="626" ht="15.75" customHeight="1" s="162">
      <c r="E626" s="45" t="n"/>
    </row>
    <row r="627" ht="15.75" customHeight="1" s="162">
      <c r="E627" s="45" t="n"/>
    </row>
    <row r="628" ht="15.75" customHeight="1" s="162">
      <c r="E628" s="45" t="n"/>
    </row>
    <row r="629" ht="15.75" customHeight="1" s="162">
      <c r="E629" s="45" t="n"/>
    </row>
    <row r="630" ht="15.75" customHeight="1" s="162">
      <c r="E630" s="45" t="n"/>
    </row>
    <row r="631" ht="15.75" customHeight="1" s="162">
      <c r="E631" s="45" t="n"/>
    </row>
    <row r="632" ht="15.75" customHeight="1" s="162">
      <c r="E632" s="45" t="n"/>
    </row>
    <row r="633" ht="15.75" customHeight="1" s="162">
      <c r="E633" s="45" t="n"/>
    </row>
    <row r="634" ht="15.75" customHeight="1" s="162">
      <c r="E634" s="45" t="n"/>
    </row>
    <row r="635" ht="15.75" customHeight="1" s="162">
      <c r="E635" s="45" t="n"/>
    </row>
    <row r="636" ht="15.75" customHeight="1" s="162">
      <c r="E636" s="45" t="n"/>
    </row>
    <row r="637" ht="15.75" customHeight="1" s="162">
      <c r="E637" s="45" t="n"/>
    </row>
    <row r="638" ht="15.75" customHeight="1" s="162">
      <c r="E638" s="45" t="n"/>
    </row>
    <row r="639" ht="15.75" customHeight="1" s="162">
      <c r="E639" s="45" t="n"/>
    </row>
    <row r="640" ht="15.75" customHeight="1" s="162">
      <c r="E640" s="45" t="n"/>
    </row>
    <row r="641" ht="15.75" customHeight="1" s="162">
      <c r="E641" s="45" t="n"/>
    </row>
    <row r="642" ht="15.75" customHeight="1" s="162">
      <c r="E642" s="45" t="n"/>
    </row>
    <row r="643" ht="15.75" customHeight="1" s="162">
      <c r="E643" s="45" t="n"/>
    </row>
    <row r="644" ht="15.75" customHeight="1" s="162">
      <c r="E644" s="45" t="n"/>
    </row>
    <row r="645" ht="15.75" customHeight="1" s="162">
      <c r="E645" s="45" t="n"/>
    </row>
    <row r="646" ht="15.75" customHeight="1" s="162">
      <c r="E646" s="45" t="n"/>
    </row>
    <row r="647" ht="15.75" customHeight="1" s="162">
      <c r="E647" s="45" t="n"/>
    </row>
    <row r="648" ht="15.75" customHeight="1" s="162">
      <c r="E648" s="45" t="n"/>
    </row>
    <row r="649" ht="15.75" customHeight="1" s="162">
      <c r="E649" s="45" t="n"/>
    </row>
    <row r="650" ht="15.75" customHeight="1" s="162">
      <c r="E650" s="45" t="n"/>
    </row>
    <row r="651" ht="15.75" customHeight="1" s="162">
      <c r="E651" s="45" t="n"/>
    </row>
    <row r="652" ht="15.75" customHeight="1" s="162">
      <c r="E652" s="45" t="n"/>
    </row>
    <row r="653" ht="15.75" customHeight="1" s="162">
      <c r="E653" s="45" t="n"/>
    </row>
    <row r="654" ht="15.75" customHeight="1" s="162">
      <c r="E654" s="45" t="n"/>
    </row>
    <row r="655" ht="15.75" customHeight="1" s="162">
      <c r="E655" s="45" t="n"/>
    </row>
    <row r="656" ht="15.75" customHeight="1" s="162">
      <c r="E656" s="45" t="n"/>
    </row>
    <row r="657" ht="15.75" customHeight="1" s="162">
      <c r="E657" s="45" t="n"/>
    </row>
    <row r="658" ht="15.75" customHeight="1" s="162">
      <c r="E658" s="45" t="n"/>
    </row>
    <row r="659" ht="15.75" customHeight="1" s="162">
      <c r="E659" s="45" t="n"/>
    </row>
    <row r="660" ht="15.75" customHeight="1" s="162">
      <c r="E660" s="45" t="n"/>
    </row>
    <row r="661" ht="15.75" customHeight="1" s="162">
      <c r="E661" s="45" t="n"/>
    </row>
    <row r="662" ht="15.75" customHeight="1" s="162">
      <c r="E662" s="45" t="n"/>
    </row>
    <row r="663" ht="15.75" customHeight="1" s="162">
      <c r="E663" s="45" t="n"/>
    </row>
    <row r="664" ht="15.75" customHeight="1" s="162">
      <c r="E664" s="45" t="n"/>
    </row>
    <row r="665" ht="15.75" customHeight="1" s="162">
      <c r="E665" s="45" t="n"/>
    </row>
    <row r="666" ht="15.75" customHeight="1" s="162">
      <c r="E666" s="45" t="n"/>
    </row>
    <row r="667" ht="15.75" customHeight="1" s="162">
      <c r="E667" s="45" t="n"/>
    </row>
    <row r="668" ht="15.75" customHeight="1" s="162">
      <c r="E668" s="45" t="n"/>
    </row>
    <row r="669" ht="15.75" customHeight="1" s="162">
      <c r="E669" s="45" t="n"/>
    </row>
    <row r="670" ht="15.75" customHeight="1" s="162">
      <c r="E670" s="45" t="n"/>
    </row>
    <row r="671" ht="15.75" customHeight="1" s="162">
      <c r="E671" s="45" t="n"/>
    </row>
    <row r="672" ht="15.75" customHeight="1" s="162">
      <c r="E672" s="45" t="n"/>
    </row>
    <row r="673" ht="15.75" customHeight="1" s="162">
      <c r="E673" s="45" t="n"/>
    </row>
    <row r="674" ht="15.75" customHeight="1" s="162">
      <c r="E674" s="45" t="n"/>
    </row>
    <row r="675" ht="15.75" customHeight="1" s="162">
      <c r="E675" s="45" t="n"/>
    </row>
    <row r="676" ht="15.75" customHeight="1" s="162">
      <c r="E676" s="45" t="n"/>
    </row>
    <row r="677" ht="15.75" customHeight="1" s="162">
      <c r="E677" s="45" t="n"/>
    </row>
    <row r="678" ht="15.75" customHeight="1" s="162">
      <c r="E678" s="45" t="n"/>
    </row>
    <row r="679" ht="15.75" customHeight="1" s="162">
      <c r="E679" s="45" t="n"/>
    </row>
    <row r="680" ht="15.75" customHeight="1" s="162">
      <c r="E680" s="45" t="n"/>
    </row>
    <row r="681" ht="15.75" customHeight="1" s="162">
      <c r="E681" s="45" t="n"/>
    </row>
    <row r="682" ht="15.75" customHeight="1" s="162">
      <c r="E682" s="45" t="n"/>
    </row>
    <row r="683" ht="15.75" customHeight="1" s="162">
      <c r="E683" s="45" t="n"/>
    </row>
    <row r="684" ht="15.75" customHeight="1" s="162">
      <c r="E684" s="45" t="n"/>
    </row>
    <row r="685" ht="15.75" customHeight="1" s="162">
      <c r="E685" s="45" t="n"/>
    </row>
    <row r="686" ht="15.75" customHeight="1" s="162">
      <c r="E686" s="45" t="n"/>
    </row>
    <row r="687" ht="15.75" customHeight="1" s="162">
      <c r="E687" s="45" t="n"/>
    </row>
    <row r="688" ht="15.75" customHeight="1" s="162">
      <c r="E688" s="45" t="n"/>
    </row>
    <row r="689" ht="15.75" customHeight="1" s="162">
      <c r="E689" s="45" t="n"/>
    </row>
    <row r="690" ht="15.75" customHeight="1" s="162">
      <c r="E690" s="45" t="n"/>
    </row>
    <row r="691" ht="15.75" customHeight="1" s="162">
      <c r="E691" s="45" t="n"/>
    </row>
    <row r="692" ht="15.75" customHeight="1" s="162">
      <c r="E692" s="45" t="n"/>
    </row>
    <row r="693" ht="15.75" customHeight="1" s="162">
      <c r="E693" s="45" t="n"/>
    </row>
    <row r="694" ht="15.75" customHeight="1" s="162">
      <c r="E694" s="45" t="n"/>
    </row>
    <row r="695" ht="15.75" customHeight="1" s="162">
      <c r="E695" s="45" t="n"/>
    </row>
    <row r="696" ht="15.75" customHeight="1" s="162">
      <c r="E696" s="45" t="n"/>
    </row>
    <row r="697" ht="15.75" customHeight="1" s="162">
      <c r="E697" s="45" t="n"/>
    </row>
    <row r="698" ht="15.75" customHeight="1" s="162">
      <c r="E698" s="45" t="n"/>
    </row>
    <row r="699" ht="15.75" customHeight="1" s="162">
      <c r="E699" s="45" t="n"/>
    </row>
    <row r="700" ht="15.75" customHeight="1" s="162">
      <c r="E700" s="45" t="n"/>
    </row>
    <row r="701" ht="15.75" customHeight="1" s="162">
      <c r="E701" s="45" t="n"/>
    </row>
    <row r="702" ht="15.75" customHeight="1" s="162">
      <c r="E702" s="45" t="n"/>
    </row>
    <row r="703" ht="15.75" customHeight="1" s="162">
      <c r="E703" s="45" t="n"/>
    </row>
    <row r="704" ht="15.75" customHeight="1" s="162">
      <c r="E704" s="45" t="n"/>
    </row>
    <row r="705" ht="15.75" customHeight="1" s="162">
      <c r="E705" s="45" t="n"/>
    </row>
    <row r="706" ht="15.75" customHeight="1" s="162">
      <c r="E706" s="45" t="n"/>
    </row>
    <row r="707" ht="15.75" customHeight="1" s="162">
      <c r="E707" s="45" t="n"/>
    </row>
    <row r="708" ht="15.75" customHeight="1" s="162">
      <c r="E708" s="45" t="n"/>
    </row>
    <row r="709" ht="15.75" customHeight="1" s="162">
      <c r="E709" s="45" t="n"/>
    </row>
    <row r="710" ht="15.75" customHeight="1" s="162">
      <c r="E710" s="45" t="n"/>
    </row>
    <row r="711" ht="15.75" customHeight="1" s="162">
      <c r="E711" s="45" t="n"/>
    </row>
    <row r="712" ht="15.75" customHeight="1" s="162">
      <c r="E712" s="45" t="n"/>
    </row>
    <row r="713" ht="15.75" customHeight="1" s="162">
      <c r="E713" s="45" t="n"/>
    </row>
    <row r="714" ht="15.75" customHeight="1" s="162">
      <c r="E714" s="45" t="n"/>
    </row>
    <row r="715" ht="15.75" customHeight="1" s="162">
      <c r="E715" s="45" t="n"/>
    </row>
    <row r="716" ht="15.75" customHeight="1" s="162">
      <c r="E716" s="45" t="n"/>
    </row>
    <row r="717" ht="15.75" customHeight="1" s="162">
      <c r="E717" s="45" t="n"/>
    </row>
    <row r="718" ht="15.75" customHeight="1" s="162">
      <c r="E718" s="45" t="n"/>
    </row>
    <row r="719" ht="15.75" customHeight="1" s="162">
      <c r="E719" s="45" t="n"/>
    </row>
    <row r="720" ht="15.75" customHeight="1" s="162">
      <c r="E720" s="45" t="n"/>
    </row>
    <row r="721" ht="15.75" customHeight="1" s="162">
      <c r="E721" s="45" t="n"/>
    </row>
    <row r="722" ht="15.75" customHeight="1" s="162">
      <c r="E722" s="45" t="n"/>
    </row>
    <row r="723" ht="15.75" customHeight="1" s="162">
      <c r="E723" s="45" t="n"/>
    </row>
    <row r="724" ht="15.75" customHeight="1" s="162">
      <c r="E724" s="45" t="n"/>
    </row>
    <row r="725" ht="15.75" customHeight="1" s="162">
      <c r="E725" s="45" t="n"/>
    </row>
    <row r="726" ht="15.75" customHeight="1" s="162">
      <c r="E726" s="45" t="n"/>
    </row>
    <row r="727" ht="15.75" customHeight="1" s="162">
      <c r="E727" s="45" t="n"/>
    </row>
    <row r="728" ht="15.75" customHeight="1" s="162">
      <c r="E728" s="45" t="n"/>
    </row>
    <row r="729" ht="15.75" customHeight="1" s="162">
      <c r="E729" s="45" t="n"/>
    </row>
    <row r="730" ht="15.75" customHeight="1" s="162">
      <c r="E730" s="45" t="n"/>
    </row>
    <row r="731" ht="15.75" customHeight="1" s="162">
      <c r="E731" s="45" t="n"/>
    </row>
    <row r="732" ht="15.75" customHeight="1" s="162">
      <c r="E732" s="45" t="n"/>
    </row>
    <row r="733" ht="15.75" customHeight="1" s="162">
      <c r="E733" s="45" t="n"/>
    </row>
    <row r="734" ht="15.75" customHeight="1" s="162">
      <c r="E734" s="45" t="n"/>
    </row>
    <row r="735" ht="15.75" customHeight="1" s="162">
      <c r="E735" s="45" t="n"/>
    </row>
    <row r="736" ht="15.75" customHeight="1" s="162">
      <c r="E736" s="45" t="n"/>
    </row>
    <row r="737" ht="15.75" customHeight="1" s="162">
      <c r="E737" s="45" t="n"/>
    </row>
    <row r="738" ht="15.75" customHeight="1" s="162">
      <c r="E738" s="45" t="n"/>
    </row>
    <row r="739" ht="15.75" customHeight="1" s="162">
      <c r="E739" s="45" t="n"/>
    </row>
    <row r="740" ht="15.75" customHeight="1" s="162">
      <c r="E740" s="45" t="n"/>
    </row>
    <row r="741" ht="15.75" customHeight="1" s="162">
      <c r="E741" s="45" t="n"/>
    </row>
    <row r="742" ht="15.75" customHeight="1" s="162">
      <c r="E742" s="45" t="n"/>
    </row>
    <row r="743" ht="15.75" customHeight="1" s="162">
      <c r="E743" s="45" t="n"/>
    </row>
    <row r="744" ht="15.75" customHeight="1" s="162">
      <c r="E744" s="45" t="n"/>
    </row>
    <row r="745" ht="15.75" customHeight="1" s="162">
      <c r="E745" s="45" t="n"/>
    </row>
    <row r="746" ht="15.75" customHeight="1" s="162">
      <c r="E746" s="45" t="n"/>
    </row>
    <row r="747" ht="15.75" customHeight="1" s="162">
      <c r="E747" s="45" t="n"/>
    </row>
    <row r="748" ht="15.75" customHeight="1" s="162">
      <c r="E748" s="45" t="n"/>
    </row>
    <row r="749" ht="15.75" customHeight="1" s="162">
      <c r="E749" s="45" t="n"/>
    </row>
    <row r="750" ht="15.75" customHeight="1" s="162">
      <c r="E750" s="45" t="n"/>
    </row>
    <row r="751" ht="15.75" customHeight="1" s="162">
      <c r="E751" s="45" t="n"/>
    </row>
    <row r="752" ht="15.75" customHeight="1" s="162">
      <c r="E752" s="45" t="n"/>
    </row>
    <row r="753" ht="15.75" customHeight="1" s="162">
      <c r="E753" s="45" t="n"/>
    </row>
    <row r="754" ht="15.75" customHeight="1" s="162">
      <c r="E754" s="45" t="n"/>
    </row>
    <row r="755" ht="15.75" customHeight="1" s="162">
      <c r="E755" s="45" t="n"/>
    </row>
    <row r="756" ht="15.75" customHeight="1" s="162">
      <c r="E756" s="45" t="n"/>
    </row>
    <row r="757" ht="15.75" customHeight="1" s="162">
      <c r="E757" s="45" t="n"/>
    </row>
    <row r="758" ht="15.75" customHeight="1" s="162">
      <c r="E758" s="45" t="n"/>
    </row>
    <row r="759" ht="15.75" customHeight="1" s="162">
      <c r="E759" s="45" t="n"/>
    </row>
    <row r="760" ht="15.75" customHeight="1" s="162">
      <c r="E760" s="45" t="n"/>
    </row>
    <row r="761" ht="15.75" customHeight="1" s="162">
      <c r="E761" s="45" t="n"/>
    </row>
    <row r="762" ht="15.75" customHeight="1" s="162">
      <c r="E762" s="45" t="n"/>
    </row>
    <row r="763" ht="15.75" customHeight="1" s="162">
      <c r="E763" s="45" t="n"/>
    </row>
    <row r="764" ht="15.75" customHeight="1" s="162">
      <c r="E764" s="45" t="n"/>
    </row>
    <row r="765" ht="15.75" customHeight="1" s="162">
      <c r="E765" s="45" t="n"/>
    </row>
    <row r="766" ht="15.75" customHeight="1" s="162">
      <c r="E766" s="45" t="n"/>
    </row>
    <row r="767" ht="15.75" customHeight="1" s="162">
      <c r="E767" s="45" t="n"/>
    </row>
    <row r="768" ht="15.75" customHeight="1" s="162">
      <c r="E768" s="45" t="n"/>
    </row>
    <row r="769" ht="15.75" customHeight="1" s="162">
      <c r="E769" s="45" t="n"/>
    </row>
    <row r="770" ht="15.75" customHeight="1" s="162">
      <c r="E770" s="45" t="n"/>
    </row>
    <row r="771" ht="15.75" customHeight="1" s="162">
      <c r="E771" s="45" t="n"/>
    </row>
    <row r="772" ht="15.75" customHeight="1" s="162">
      <c r="E772" s="45" t="n"/>
    </row>
    <row r="773" ht="15.75" customHeight="1" s="162">
      <c r="E773" s="45" t="n"/>
    </row>
    <row r="774" ht="15.75" customHeight="1" s="162">
      <c r="E774" s="45" t="n"/>
    </row>
    <row r="775" ht="15.75" customHeight="1" s="162">
      <c r="E775" s="45" t="n"/>
    </row>
    <row r="776" ht="15.75" customHeight="1" s="162">
      <c r="E776" s="45" t="n"/>
    </row>
    <row r="777" ht="15.75" customHeight="1" s="162">
      <c r="E777" s="45" t="n"/>
    </row>
    <row r="778" ht="15.75" customHeight="1" s="162">
      <c r="E778" s="45" t="n"/>
    </row>
    <row r="779" ht="15.75" customHeight="1" s="162">
      <c r="E779" s="45" t="n"/>
    </row>
    <row r="780" ht="15.75" customHeight="1" s="162">
      <c r="E780" s="45" t="n"/>
    </row>
    <row r="781" ht="15.75" customHeight="1" s="162">
      <c r="E781" s="45" t="n"/>
    </row>
    <row r="782" ht="15.75" customHeight="1" s="162">
      <c r="E782" s="45" t="n"/>
    </row>
    <row r="783" ht="15.75" customHeight="1" s="162">
      <c r="E783" s="45" t="n"/>
    </row>
    <row r="784" ht="15.75" customHeight="1" s="162">
      <c r="E784" s="45" t="n"/>
    </row>
    <row r="785" ht="15.75" customHeight="1" s="162">
      <c r="E785" s="45" t="n"/>
    </row>
    <row r="786" ht="15.75" customHeight="1" s="162">
      <c r="E786" s="45" t="n"/>
    </row>
    <row r="787" ht="15.75" customHeight="1" s="162">
      <c r="E787" s="45" t="n"/>
    </row>
    <row r="788" ht="15.75" customHeight="1" s="162">
      <c r="E788" s="45" t="n"/>
    </row>
    <row r="789" ht="15.75" customHeight="1" s="162">
      <c r="E789" s="45" t="n"/>
    </row>
    <row r="790" ht="15.75" customHeight="1" s="162">
      <c r="E790" s="45" t="n"/>
    </row>
    <row r="791" ht="15.75" customHeight="1" s="162">
      <c r="E791" s="45" t="n"/>
    </row>
    <row r="792" ht="15.75" customHeight="1" s="162">
      <c r="E792" s="45" t="n"/>
    </row>
    <row r="793" ht="15.75" customHeight="1" s="162">
      <c r="E793" s="45" t="n"/>
    </row>
    <row r="794" ht="15.75" customHeight="1" s="162">
      <c r="E794" s="45" t="n"/>
    </row>
    <row r="795" ht="15.75" customHeight="1" s="162">
      <c r="E795" s="45" t="n"/>
    </row>
    <row r="796" ht="15.75" customHeight="1" s="162">
      <c r="E796" s="45" t="n"/>
    </row>
    <row r="797" ht="15.75" customHeight="1" s="162">
      <c r="E797" s="45" t="n"/>
    </row>
    <row r="798" ht="15.75" customHeight="1" s="162">
      <c r="E798" s="45" t="n"/>
    </row>
    <row r="799" ht="15.75" customHeight="1" s="162">
      <c r="E799" s="45" t="n"/>
    </row>
    <row r="800" ht="15.75" customHeight="1" s="162">
      <c r="E800" s="45" t="n"/>
    </row>
    <row r="801" ht="15.75" customHeight="1" s="162">
      <c r="E801" s="45" t="n"/>
    </row>
    <row r="802" ht="15.75" customHeight="1" s="162">
      <c r="E802" s="45" t="n"/>
    </row>
    <row r="803" ht="15.75" customHeight="1" s="162">
      <c r="E803" s="45" t="n"/>
    </row>
    <row r="804" ht="15.75" customHeight="1" s="162">
      <c r="E804" s="45" t="n"/>
    </row>
    <row r="805" ht="15.75" customHeight="1" s="162">
      <c r="E805" s="45" t="n"/>
    </row>
    <row r="806" ht="15.75" customHeight="1" s="162">
      <c r="E806" s="45" t="n"/>
    </row>
    <row r="807" ht="15.75" customHeight="1" s="162">
      <c r="E807" s="45" t="n"/>
    </row>
    <row r="808" ht="15.75" customHeight="1" s="162">
      <c r="E808" s="45" t="n"/>
    </row>
    <row r="809" ht="15.75" customHeight="1" s="162">
      <c r="E809" s="45" t="n"/>
    </row>
    <row r="810" ht="15.75" customHeight="1" s="162">
      <c r="E810" s="45" t="n"/>
    </row>
    <row r="811" ht="15.75" customHeight="1" s="162">
      <c r="E811" s="45" t="n"/>
    </row>
    <row r="812" ht="15.75" customHeight="1" s="162">
      <c r="E812" s="45" t="n"/>
    </row>
    <row r="813" ht="15.75" customHeight="1" s="162">
      <c r="E813" s="45" t="n"/>
    </row>
    <row r="814" ht="15.75" customHeight="1" s="162">
      <c r="E814" s="45" t="n"/>
    </row>
    <row r="815" ht="15.75" customHeight="1" s="162">
      <c r="E815" s="45" t="n"/>
    </row>
    <row r="816" ht="15.75" customHeight="1" s="162">
      <c r="E816" s="45" t="n"/>
    </row>
    <row r="817" ht="15.75" customHeight="1" s="162">
      <c r="E817" s="45" t="n"/>
    </row>
    <row r="818" ht="15.75" customHeight="1" s="162">
      <c r="E818" s="45" t="n"/>
    </row>
    <row r="819" ht="15.75" customHeight="1" s="162">
      <c r="E819" s="45" t="n"/>
    </row>
    <row r="820" ht="15.75" customHeight="1" s="162">
      <c r="E820" s="45" t="n"/>
    </row>
    <row r="821" ht="15.75" customHeight="1" s="162">
      <c r="E821" s="45" t="n"/>
    </row>
    <row r="822" ht="15.75" customHeight="1" s="162">
      <c r="E822" s="45" t="n"/>
    </row>
    <row r="823" ht="15.75" customHeight="1" s="162">
      <c r="E823" s="45" t="n"/>
    </row>
    <row r="824" ht="15.75" customHeight="1" s="162">
      <c r="E824" s="45" t="n"/>
    </row>
    <row r="825" ht="15.75" customHeight="1" s="162">
      <c r="E825" s="45" t="n"/>
    </row>
    <row r="826" ht="15.75" customHeight="1" s="162">
      <c r="E826" s="45" t="n"/>
    </row>
    <row r="827" ht="15.75" customHeight="1" s="162">
      <c r="E827" s="45" t="n"/>
    </row>
    <row r="828" ht="15.75" customHeight="1" s="162">
      <c r="E828" s="45" t="n"/>
    </row>
    <row r="829" ht="15.75" customHeight="1" s="162">
      <c r="E829" s="45" t="n"/>
    </row>
    <row r="830" ht="15.75" customHeight="1" s="162">
      <c r="E830" s="45" t="n"/>
    </row>
    <row r="831" ht="15.75" customHeight="1" s="162">
      <c r="E831" s="45" t="n"/>
    </row>
    <row r="832" ht="15.75" customHeight="1" s="162">
      <c r="E832" s="45" t="n"/>
    </row>
    <row r="833" ht="15.75" customHeight="1" s="162">
      <c r="E833" s="45" t="n"/>
    </row>
    <row r="834" ht="15.75" customHeight="1" s="162">
      <c r="E834" s="45" t="n"/>
    </row>
    <row r="835" ht="15.75" customHeight="1" s="162">
      <c r="E835" s="45" t="n"/>
    </row>
    <row r="836" ht="15.75" customHeight="1" s="162">
      <c r="E836" s="45" t="n"/>
    </row>
    <row r="837" ht="15.75" customHeight="1" s="162">
      <c r="E837" s="45" t="n"/>
    </row>
    <row r="838" ht="15.75" customHeight="1" s="162">
      <c r="E838" s="45" t="n"/>
    </row>
    <row r="839" ht="15.75" customHeight="1" s="162">
      <c r="E839" s="45" t="n"/>
    </row>
    <row r="840" ht="15.75" customHeight="1" s="162">
      <c r="E840" s="45" t="n"/>
    </row>
    <row r="841" ht="15.75" customHeight="1" s="162">
      <c r="E841" s="45" t="n"/>
    </row>
    <row r="842" ht="15.75" customHeight="1" s="162">
      <c r="E842" s="45" t="n"/>
    </row>
    <row r="843" ht="15.75" customHeight="1" s="162">
      <c r="E843" s="45" t="n"/>
    </row>
    <row r="844" ht="15.75" customHeight="1" s="162">
      <c r="E844" s="45" t="n"/>
    </row>
    <row r="845" ht="15.75" customHeight="1" s="162">
      <c r="E845" s="45" t="n"/>
    </row>
    <row r="846" ht="15.75" customHeight="1" s="162">
      <c r="E846" s="45" t="n"/>
    </row>
    <row r="847" ht="15.75" customHeight="1" s="162">
      <c r="E847" s="45" t="n"/>
    </row>
    <row r="848" ht="15.75" customHeight="1" s="162">
      <c r="E848" s="45" t="n"/>
    </row>
    <row r="849" ht="15.75" customHeight="1" s="162">
      <c r="E849" s="45" t="n"/>
    </row>
    <row r="850" ht="15.75" customHeight="1" s="162">
      <c r="E850" s="45" t="n"/>
    </row>
    <row r="851" ht="15.75" customHeight="1" s="162">
      <c r="E851" s="45" t="n"/>
    </row>
    <row r="852" ht="15.75" customHeight="1" s="162">
      <c r="E852" s="45" t="n"/>
    </row>
    <row r="853" ht="15.75" customHeight="1" s="162">
      <c r="E853" s="45" t="n"/>
    </row>
    <row r="854" ht="15.75" customHeight="1" s="162">
      <c r="E854" s="45" t="n"/>
    </row>
    <row r="855" ht="15.75" customHeight="1" s="162">
      <c r="E855" s="45" t="n"/>
    </row>
    <row r="856" ht="15.75" customHeight="1" s="162">
      <c r="E856" s="45" t="n"/>
    </row>
    <row r="857" ht="15.75" customHeight="1" s="162">
      <c r="E857" s="45" t="n"/>
    </row>
    <row r="858" ht="15.75" customHeight="1" s="162">
      <c r="E858" s="45" t="n"/>
    </row>
    <row r="859" ht="15.75" customHeight="1" s="162">
      <c r="E859" s="45" t="n"/>
    </row>
    <row r="860" ht="15.75" customHeight="1" s="162">
      <c r="E860" s="45" t="n"/>
    </row>
    <row r="861" ht="15.75" customHeight="1" s="162">
      <c r="E861" s="45" t="n"/>
    </row>
    <row r="862" ht="15.75" customHeight="1" s="162">
      <c r="E862" s="45" t="n"/>
    </row>
    <row r="863" ht="15.75" customHeight="1" s="162">
      <c r="E863" s="45" t="n"/>
    </row>
    <row r="864" ht="15.75" customHeight="1" s="162">
      <c r="E864" s="45" t="n"/>
    </row>
    <row r="865" ht="15.75" customHeight="1" s="162">
      <c r="E865" s="45" t="n"/>
    </row>
    <row r="866" ht="15.75" customHeight="1" s="162">
      <c r="E866" s="45" t="n"/>
    </row>
    <row r="867" ht="15.75" customHeight="1" s="162">
      <c r="E867" s="45" t="n"/>
    </row>
    <row r="868" ht="15.75" customHeight="1" s="162">
      <c r="E868" s="45" t="n"/>
    </row>
    <row r="869" ht="15.75" customHeight="1" s="162">
      <c r="E869" s="45" t="n"/>
    </row>
    <row r="870" ht="15.75" customHeight="1" s="162">
      <c r="E870" s="45" t="n"/>
    </row>
    <row r="871" ht="15.75" customHeight="1" s="162">
      <c r="E871" s="45" t="n"/>
    </row>
    <row r="872" ht="15.75" customHeight="1" s="162">
      <c r="E872" s="45" t="n"/>
    </row>
    <row r="873" ht="15.75" customHeight="1" s="162">
      <c r="E873" s="45" t="n"/>
    </row>
    <row r="874" ht="15.75" customHeight="1" s="162">
      <c r="E874" s="45" t="n"/>
    </row>
    <row r="875" ht="15.75" customHeight="1" s="162">
      <c r="E875" s="45" t="n"/>
    </row>
    <row r="876" ht="15.75" customHeight="1" s="162">
      <c r="E876" s="45" t="n"/>
    </row>
    <row r="877" ht="15.75" customHeight="1" s="162">
      <c r="E877" s="45" t="n"/>
    </row>
    <row r="878" ht="15.75" customHeight="1" s="162">
      <c r="E878" s="45" t="n"/>
    </row>
    <row r="879" ht="15.75" customHeight="1" s="162">
      <c r="E879" s="45" t="n"/>
    </row>
    <row r="880" ht="15.75" customHeight="1" s="162">
      <c r="E880" s="45" t="n"/>
    </row>
    <row r="881" ht="15.75" customHeight="1" s="162">
      <c r="E881" s="45" t="n"/>
    </row>
    <row r="882" ht="15.75" customHeight="1" s="162">
      <c r="E882" s="45" t="n"/>
    </row>
    <row r="883" ht="15.75" customHeight="1" s="162">
      <c r="E883" s="45" t="n"/>
    </row>
    <row r="884" ht="15.75" customHeight="1" s="162">
      <c r="E884" s="45" t="n"/>
    </row>
    <row r="885" ht="15.75" customHeight="1" s="162">
      <c r="E885" s="45" t="n"/>
    </row>
    <row r="886" ht="15.75" customHeight="1" s="162">
      <c r="E886" s="45" t="n"/>
    </row>
    <row r="887" ht="15.75" customHeight="1" s="162">
      <c r="E887" s="45" t="n"/>
    </row>
    <row r="888" ht="15.75" customHeight="1" s="162">
      <c r="E888" s="45" t="n"/>
    </row>
    <row r="889" ht="15.75" customHeight="1" s="162">
      <c r="E889" s="45" t="n"/>
    </row>
    <row r="890" ht="15.75" customHeight="1" s="162">
      <c r="E890" s="45" t="n"/>
    </row>
    <row r="891" ht="15.75" customHeight="1" s="162">
      <c r="E891" s="45" t="n"/>
    </row>
    <row r="892" ht="15.75" customHeight="1" s="162">
      <c r="E892" s="45" t="n"/>
    </row>
    <row r="893" ht="15.75" customHeight="1" s="162">
      <c r="E893" s="45" t="n"/>
    </row>
    <row r="894" ht="15.75" customHeight="1" s="162">
      <c r="E894" s="45" t="n"/>
    </row>
    <row r="895" ht="15.75" customHeight="1" s="162">
      <c r="E895" s="45" t="n"/>
    </row>
    <row r="896" ht="15.75" customHeight="1" s="162">
      <c r="E896" s="45" t="n"/>
    </row>
    <row r="897" ht="15.75" customHeight="1" s="162">
      <c r="E897" s="45" t="n"/>
    </row>
    <row r="898" ht="15.75" customHeight="1" s="162">
      <c r="E898" s="45" t="n"/>
    </row>
    <row r="899" ht="15.75" customHeight="1" s="162">
      <c r="E899" s="45" t="n"/>
    </row>
    <row r="900" ht="15.75" customHeight="1" s="162">
      <c r="E900" s="45" t="n"/>
    </row>
    <row r="901" ht="15.75" customHeight="1" s="162">
      <c r="E901" s="45" t="n"/>
    </row>
    <row r="902" ht="15.75" customHeight="1" s="162">
      <c r="E902" s="45" t="n"/>
    </row>
    <row r="903" ht="15.75" customHeight="1" s="162">
      <c r="E903" s="45" t="n"/>
    </row>
    <row r="904" ht="15.75" customHeight="1" s="162">
      <c r="E904" s="45" t="n"/>
    </row>
    <row r="905" ht="15.75" customHeight="1" s="162">
      <c r="E905" s="45" t="n"/>
    </row>
    <row r="906" ht="15.75" customHeight="1" s="162">
      <c r="E906" s="45" t="n"/>
    </row>
    <row r="907" ht="15.75" customHeight="1" s="162">
      <c r="E907" s="45" t="n"/>
    </row>
    <row r="908" ht="15.75" customHeight="1" s="162">
      <c r="E908" s="45" t="n"/>
    </row>
    <row r="909" ht="15.75" customHeight="1" s="162">
      <c r="E909" s="45" t="n"/>
    </row>
    <row r="910" ht="15.75" customHeight="1" s="162">
      <c r="E910" s="45" t="n"/>
    </row>
    <row r="911" ht="15.75" customHeight="1" s="162">
      <c r="E911" s="45" t="n"/>
    </row>
    <row r="912" ht="15.75" customHeight="1" s="162">
      <c r="E912" s="45" t="n"/>
    </row>
    <row r="913" ht="15.75" customHeight="1" s="162">
      <c r="E913" s="45" t="n"/>
    </row>
    <row r="914" ht="15.75" customHeight="1" s="162">
      <c r="E914" s="45" t="n"/>
    </row>
    <row r="915" ht="15.75" customHeight="1" s="162">
      <c r="E915" s="45" t="n"/>
    </row>
    <row r="916" ht="15.75" customHeight="1" s="162">
      <c r="E916" s="45" t="n"/>
    </row>
    <row r="917" ht="15.75" customHeight="1" s="162">
      <c r="E917" s="45" t="n"/>
    </row>
    <row r="918" ht="15.75" customHeight="1" s="162">
      <c r="E918" s="45" t="n"/>
    </row>
    <row r="919" ht="15.75" customHeight="1" s="162">
      <c r="E919" s="45" t="n"/>
    </row>
    <row r="920" ht="15.75" customHeight="1" s="162">
      <c r="E920" s="45" t="n"/>
    </row>
    <row r="921" ht="15.75" customHeight="1" s="162">
      <c r="E921" s="45" t="n"/>
    </row>
    <row r="922" ht="15.75" customHeight="1" s="162">
      <c r="E922" s="45" t="n"/>
    </row>
    <row r="923" ht="15.75" customHeight="1" s="162">
      <c r="E923" s="45" t="n"/>
    </row>
    <row r="924" ht="15.75" customHeight="1" s="162">
      <c r="E924" s="45" t="n"/>
    </row>
    <row r="925" ht="15.75" customHeight="1" s="162">
      <c r="E925" s="45" t="n"/>
    </row>
    <row r="926" ht="15.75" customHeight="1" s="162">
      <c r="E926" s="45" t="n"/>
    </row>
    <row r="927" ht="15.75" customHeight="1" s="162">
      <c r="E927" s="45" t="n"/>
    </row>
    <row r="928" ht="15.75" customHeight="1" s="162">
      <c r="E928" s="45" t="n"/>
    </row>
    <row r="929" ht="15.75" customHeight="1" s="162">
      <c r="E929" s="45" t="n"/>
    </row>
    <row r="930" ht="15.75" customHeight="1" s="162">
      <c r="E930" s="45" t="n"/>
    </row>
    <row r="931" ht="15.75" customHeight="1" s="162">
      <c r="E931" s="45" t="n"/>
    </row>
    <row r="932" ht="15.75" customHeight="1" s="162">
      <c r="E932" s="45" t="n"/>
    </row>
    <row r="933" ht="15.75" customHeight="1" s="162">
      <c r="E933" s="45" t="n"/>
    </row>
    <row r="934" ht="15.75" customHeight="1" s="162">
      <c r="E934" s="45" t="n"/>
    </row>
    <row r="935" ht="15.75" customHeight="1" s="162">
      <c r="E935" s="45" t="n"/>
    </row>
    <row r="936" ht="15.75" customHeight="1" s="162">
      <c r="E936" s="45" t="n"/>
    </row>
    <row r="937" ht="15.75" customHeight="1" s="162">
      <c r="E937" s="45" t="n"/>
    </row>
    <row r="938" ht="15.75" customHeight="1" s="162">
      <c r="E938" s="45" t="n"/>
    </row>
    <row r="939" ht="15.75" customHeight="1" s="162">
      <c r="E939" s="45" t="n"/>
    </row>
    <row r="940" ht="15.75" customHeight="1" s="162">
      <c r="E940" s="45" t="n"/>
    </row>
    <row r="941" ht="15.75" customHeight="1" s="162">
      <c r="E941" s="45" t="n"/>
    </row>
    <row r="942" ht="15.75" customHeight="1" s="162">
      <c r="E942" s="45" t="n"/>
    </row>
    <row r="943" ht="15.75" customHeight="1" s="162">
      <c r="E943" s="45" t="n"/>
    </row>
    <row r="944" ht="15.75" customHeight="1" s="162">
      <c r="E944" s="45" t="n"/>
    </row>
    <row r="945" ht="15.75" customHeight="1" s="162">
      <c r="E945" s="45" t="n"/>
    </row>
    <row r="946" ht="15.75" customHeight="1" s="162">
      <c r="E946" s="45" t="n"/>
    </row>
    <row r="947" ht="15.75" customHeight="1" s="162">
      <c r="E947" s="45" t="n"/>
    </row>
    <row r="948" ht="15.75" customHeight="1" s="162">
      <c r="E948" s="45" t="n"/>
    </row>
    <row r="949" ht="15.75" customHeight="1" s="162">
      <c r="E949" s="45" t="n"/>
    </row>
    <row r="950" ht="15.75" customHeight="1" s="162">
      <c r="E950" s="45" t="n"/>
    </row>
    <row r="951" ht="15.75" customHeight="1" s="162">
      <c r="E951" s="45" t="n"/>
    </row>
    <row r="952" ht="15.75" customHeight="1" s="162">
      <c r="E952" s="45" t="n"/>
    </row>
    <row r="953" ht="15.75" customHeight="1" s="162">
      <c r="E953" s="45" t="n"/>
    </row>
    <row r="954" ht="15.75" customHeight="1" s="162">
      <c r="E954" s="45" t="n"/>
    </row>
    <row r="955" ht="15.75" customHeight="1" s="162">
      <c r="E955" s="45" t="n"/>
    </row>
    <row r="956" ht="15.75" customHeight="1" s="162">
      <c r="E956" s="45" t="n"/>
    </row>
    <row r="957" ht="15.75" customHeight="1" s="162">
      <c r="E957" s="45" t="n"/>
    </row>
    <row r="958" ht="15.75" customHeight="1" s="162">
      <c r="E958" s="45" t="n"/>
    </row>
    <row r="959" ht="15.75" customHeight="1" s="162">
      <c r="E959" s="45" t="n"/>
    </row>
    <row r="960" ht="15.75" customHeight="1" s="162">
      <c r="E960" s="45" t="n"/>
    </row>
    <row r="961" ht="15.75" customHeight="1" s="162">
      <c r="E961" s="45" t="n"/>
    </row>
    <row r="962" ht="15.75" customHeight="1" s="162">
      <c r="E962" s="45" t="n"/>
    </row>
    <row r="963" ht="15.75" customHeight="1" s="162">
      <c r="E963" s="45" t="n"/>
    </row>
    <row r="964" ht="15.75" customHeight="1" s="162">
      <c r="E964" s="45" t="n"/>
    </row>
    <row r="965" ht="15.75" customHeight="1" s="162">
      <c r="E965" s="45" t="n"/>
    </row>
    <row r="966" ht="15.75" customHeight="1" s="162">
      <c r="E966" s="45" t="n"/>
    </row>
    <row r="967" ht="15.75" customHeight="1" s="162">
      <c r="E967" s="45" t="n"/>
    </row>
    <row r="968" ht="15.75" customHeight="1" s="162">
      <c r="E968" s="45" t="n"/>
    </row>
    <row r="969" ht="15.75" customHeight="1" s="162">
      <c r="E969" s="45" t="n"/>
    </row>
    <row r="970" ht="15.75" customHeight="1" s="162">
      <c r="E970" s="45" t="n"/>
    </row>
    <row r="971" ht="15.75" customHeight="1" s="162">
      <c r="E971" s="45" t="n"/>
    </row>
    <row r="972" ht="15.75" customHeight="1" s="162">
      <c r="E972" s="45" t="n"/>
    </row>
    <row r="973" ht="15.75" customHeight="1" s="162">
      <c r="E973" s="45" t="n"/>
    </row>
    <row r="974" ht="15.75" customHeight="1" s="162">
      <c r="E974" s="45" t="n"/>
    </row>
    <row r="975" ht="15.75" customHeight="1" s="162">
      <c r="E975" s="45" t="n"/>
    </row>
    <row r="976" ht="15.75" customHeight="1" s="162">
      <c r="E976" s="45" t="n"/>
    </row>
    <row r="977" ht="15.75" customHeight="1" s="162">
      <c r="E977" s="45" t="n"/>
    </row>
    <row r="978" ht="15.75" customHeight="1" s="162">
      <c r="E978" s="45" t="n"/>
    </row>
    <row r="979" ht="15.75" customHeight="1" s="162">
      <c r="E979" s="45" t="n"/>
    </row>
    <row r="980" ht="15.75" customHeight="1" s="162">
      <c r="E980" s="45" t="n"/>
    </row>
    <row r="981" ht="15.75" customHeight="1" s="162">
      <c r="E981" s="45" t="n"/>
    </row>
    <row r="982" ht="15.75" customHeight="1" s="162">
      <c r="E982" s="45" t="n"/>
    </row>
    <row r="983" ht="15.75" customHeight="1" s="162">
      <c r="E983" s="45" t="n"/>
    </row>
    <row r="984" ht="15.75" customHeight="1" s="162">
      <c r="E984" s="45" t="n"/>
    </row>
    <row r="985" ht="15.75" customHeight="1" s="162">
      <c r="E985" s="45" t="n"/>
    </row>
    <row r="986" ht="15.75" customHeight="1" s="162">
      <c r="E986" s="45" t="n"/>
    </row>
    <row r="987" ht="15.75" customHeight="1" s="162">
      <c r="E987" s="45" t="n"/>
    </row>
    <row r="988" ht="15.75" customHeight="1" s="162">
      <c r="E988" s="45" t="n"/>
    </row>
    <row r="989" ht="15.75" customHeight="1" s="162">
      <c r="E989" s="45" t="n"/>
    </row>
    <row r="990" ht="15.75" customHeight="1" s="162">
      <c r="E990" s="45" t="n"/>
    </row>
    <row r="991" ht="15.75" customHeight="1" s="162">
      <c r="E991" s="45" t="n"/>
    </row>
    <row r="992" ht="15.75" customHeight="1" s="162">
      <c r="E992" s="45" t="n"/>
    </row>
    <row r="993" ht="15.75" customHeight="1" s="162">
      <c r="E993" s="45" t="n"/>
    </row>
    <row r="994" ht="15.75" customHeight="1" s="162">
      <c r="E994" s="45" t="n"/>
    </row>
    <row r="995" ht="15.75" customHeight="1" s="162">
      <c r="E995" s="45" t="n"/>
    </row>
    <row r="996" ht="15.75" customHeight="1" s="162">
      <c r="E996" s="45" t="n"/>
    </row>
    <row r="997" ht="15.75" customHeight="1" s="162">
      <c r="E997" s="45" t="n"/>
    </row>
    <row r="998" ht="15.75" customHeight="1" s="162">
      <c r="E998" s="45" t="n"/>
    </row>
    <row r="999" ht="15.75" customHeight="1" s="162">
      <c r="E999" s="45" t="n"/>
    </row>
    <row r="1000" ht="15.75" customHeight="1" s="162">
      <c r="E1000" s="45" t="n"/>
    </row>
  </sheetData>
  <mergeCells count="4">
    <mergeCell ref="B2:F2"/>
    <mergeCell ref="B6:D6"/>
    <mergeCell ref="B5:D5"/>
    <mergeCell ref="B4:D4"/>
  </mergeCells>
  <pageMargins left="0.4701388888888889" right="0.4701388888888889" top="0.5" bottom="0.3513888888888889" header="0" footer="0"/>
  <pageSetup orientation="landscape" paperSize="9"/>
  <headerFooter>
    <oddHeader/>
    <oddFooter>&amp;L 02ae-BM/PM/HDCV/FSOFT v2/1&amp;CInternal use&amp;R&amp;P/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38" customWidth="1" style="162" min="1" max="1"/>
    <col width="6.38" customWidth="1" style="162" min="2" max="2"/>
    <col width="26.5" customWidth="1" style="162" min="3" max="3"/>
    <col width="25.13" customWidth="1" style="162" min="4" max="4"/>
    <col width="28.13" customWidth="1" style="162" min="5" max="5"/>
    <col width="30.63" customWidth="1" style="162" min="6" max="6"/>
    <col width="9" customWidth="1" style="162" min="7" max="26"/>
  </cols>
  <sheetData>
    <row r="1" ht="12.75" customHeight="1" s="162">
      <c r="A1" s="46" t="n"/>
      <c r="B1" s="47" t="n"/>
      <c r="C1" s="48" t="n"/>
      <c r="D1" s="49" t="inlineStr">
        <is>
          <t>TEST CASE LIST</t>
        </is>
      </c>
      <c r="E1" s="50" t="n"/>
      <c r="F1" s="51" t="n"/>
      <c r="G1" s="46" t="n"/>
      <c r="H1" s="46" t="n"/>
      <c r="I1" s="46" t="n"/>
      <c r="J1" s="46" t="n"/>
      <c r="K1" s="46" t="n"/>
      <c r="L1" s="46" t="n"/>
      <c r="M1" s="46" t="n"/>
      <c r="N1" s="46" t="n"/>
      <c r="O1" s="46" t="n"/>
      <c r="P1" s="46" t="n"/>
      <c r="Q1" s="46" t="n"/>
      <c r="R1" s="46" t="n"/>
      <c r="S1" s="46" t="n"/>
      <c r="T1" s="46" t="n"/>
      <c r="U1" s="46" t="n"/>
      <c r="V1" s="46" t="n"/>
      <c r="W1" s="46" t="n"/>
      <c r="X1" s="46" t="n"/>
      <c r="Y1" s="46" t="n"/>
      <c r="Z1" s="46" t="n"/>
    </row>
    <row r="2" ht="13.5" customHeight="1" s="162">
      <c r="A2" s="46" t="n"/>
      <c r="B2" s="47" t="n"/>
      <c r="C2" s="48" t="n"/>
      <c r="D2" s="52" t="n"/>
      <c r="E2" s="53" t="n"/>
      <c r="F2" s="51" t="n"/>
      <c r="G2" s="46" t="n"/>
      <c r="H2" s="46" t="n"/>
      <c r="I2" s="46" t="n"/>
      <c r="J2" s="46" t="n"/>
      <c r="K2" s="46" t="n"/>
      <c r="L2" s="46" t="n"/>
      <c r="M2" s="46" t="n"/>
      <c r="N2" s="46" t="n"/>
      <c r="O2" s="46" t="n"/>
      <c r="P2" s="46" t="n"/>
      <c r="Q2" s="46" t="n"/>
      <c r="R2" s="46" t="n"/>
      <c r="S2" s="46" t="n"/>
      <c r="T2" s="46" t="n"/>
      <c r="U2" s="46" t="n"/>
      <c r="V2" s="46" t="n"/>
      <c r="W2" s="46" t="n"/>
      <c r="X2" s="46" t="n"/>
      <c r="Y2" s="46" t="n"/>
      <c r="Z2" s="46" t="n"/>
    </row>
    <row r="3" ht="12.75" customHeight="1" s="162">
      <c r="A3" s="46" t="n"/>
      <c r="B3" s="168" t="inlineStr">
        <is>
          <t>Project Name</t>
        </is>
      </c>
      <c r="C3" s="164" t="n"/>
      <c r="D3" s="169" t="inlineStr">
        <is>
          <t>Eyes Clinic Management System</t>
        </is>
      </c>
      <c r="E3" s="164" t="n"/>
      <c r="F3" s="165" t="n"/>
      <c r="G3" s="46" t="n"/>
      <c r="H3" s="46" t="n"/>
      <c r="I3" s="46" t="n"/>
      <c r="J3" s="46" t="n"/>
      <c r="K3" s="46" t="n"/>
      <c r="L3" s="46" t="n"/>
      <c r="M3" s="46" t="n"/>
      <c r="N3" s="46" t="n"/>
      <c r="O3" s="46" t="n"/>
      <c r="P3" s="46" t="n"/>
      <c r="Q3" s="46" t="n"/>
      <c r="R3" s="46" t="n"/>
      <c r="S3" s="46" t="n"/>
      <c r="T3" s="46" t="n"/>
      <c r="U3" s="46" t="n"/>
      <c r="V3" s="46" t="n"/>
      <c r="W3" s="46" t="n"/>
      <c r="X3" s="46" t="n"/>
      <c r="Y3" s="46" t="n"/>
      <c r="Z3" s="46" t="n"/>
    </row>
    <row r="4" ht="12.75" customHeight="1" s="162">
      <c r="A4" s="46" t="n"/>
      <c r="B4" s="168" t="inlineStr">
        <is>
          <t>Project Code</t>
        </is>
      </c>
      <c r="C4" s="164" t="n"/>
      <c r="D4" s="169" t="inlineStr">
        <is>
          <t>ECMS</t>
        </is>
      </c>
      <c r="E4" s="164" t="n"/>
      <c r="F4" s="165" t="n"/>
      <c r="G4" s="46" t="n"/>
      <c r="H4" s="46" t="n"/>
      <c r="I4" s="46" t="n"/>
      <c r="J4" s="46" t="n"/>
      <c r="K4" s="46" t="n"/>
      <c r="L4" s="46" t="n"/>
      <c r="M4" s="46" t="n"/>
      <c r="N4" s="46" t="n"/>
      <c r="O4" s="46" t="n"/>
      <c r="P4" s="46" t="n"/>
      <c r="Q4" s="46" t="n"/>
      <c r="R4" s="46" t="n"/>
      <c r="S4" s="46" t="n"/>
      <c r="T4" s="46" t="n"/>
      <c r="U4" s="46" t="n"/>
      <c r="V4" s="46" t="n"/>
      <c r="W4" s="46" t="n"/>
      <c r="X4" s="46" t="n"/>
      <c r="Y4" s="46" t="n"/>
      <c r="Z4" s="46" t="n"/>
    </row>
    <row r="5" ht="165.75" customHeight="1" s="162">
      <c r="A5" s="11" t="n"/>
      <c r="B5" s="170" t="inlineStr">
        <is>
          <t>Test Environment Setup Description</t>
        </is>
      </c>
      <c r="C5" s="165" t="n"/>
      <c r="D5" s="159" t="inlineStr">
        <is>
          <t>1. Client Web Browser: Google Chrome, Mozilla Firefox, or Microsoft Edge.
2. Frontend Environment: ReactJS application running on Node.js local development environment (or staging URL) with responsive layout enabled.
3. Backend Environment: Java Spring Boot application (RESTful APIs) running on embedded Tomcat server with active security context and token validation.
4. Database Server: SQL Server containing relational schema for ECMS, populated with initial master data (Doctor profiles, patient records, status lookup, and historical EMR entries).
5. Network &amp; Integration: Stable Localhost or Local Area Network (LAN) connection to ensure real-time API communication and data synchronization between React client and Spring Boot server.
6. Test Accounts: Pre-configured credentials with Doctor and Staff roles assigned in SQL Server authorization tables.</t>
        </is>
      </c>
      <c r="E5" s="164" t="n"/>
      <c r="F5" s="165" t="n"/>
      <c r="G5" s="11" t="n"/>
      <c r="H5" s="11" t="n"/>
      <c r="I5" s="11" t="n"/>
      <c r="J5" s="11" t="n"/>
      <c r="K5" s="11" t="n"/>
      <c r="L5" s="11" t="n"/>
      <c r="M5" s="11" t="n"/>
      <c r="N5" s="11" t="n"/>
      <c r="O5" s="11" t="n"/>
      <c r="P5" s="11" t="n"/>
      <c r="Q5" s="11" t="n"/>
      <c r="R5" s="11" t="n"/>
      <c r="S5" s="11" t="n"/>
      <c r="T5" s="11" t="n"/>
      <c r="U5" s="11" t="n"/>
      <c r="V5" s="11" t="n"/>
      <c r="W5" s="11" t="n"/>
      <c r="X5" s="11" t="n"/>
      <c r="Y5" s="11" t="n"/>
      <c r="Z5" s="11" t="n"/>
    </row>
    <row r="6" ht="12.75" customHeight="1" s="162">
      <c r="A6" s="46" t="n"/>
      <c r="B6" s="59" t="n"/>
      <c r="C6" s="46" t="n"/>
      <c r="D6" s="46" t="n"/>
      <c r="E6" s="11" t="n"/>
      <c r="F6" s="11" t="n"/>
      <c r="G6" s="46" t="n"/>
      <c r="H6" s="46" t="n"/>
      <c r="I6" s="46" t="n"/>
      <c r="J6" s="46" t="n"/>
      <c r="K6" s="46" t="n"/>
      <c r="L6" s="46" t="n"/>
      <c r="M6" s="46" t="n"/>
      <c r="N6" s="46" t="n"/>
      <c r="O6" s="46" t="n"/>
      <c r="P6" s="46" t="n"/>
      <c r="Q6" s="46" t="n"/>
      <c r="R6" s="46" t="n"/>
      <c r="S6" s="46" t="n"/>
      <c r="T6" s="46" t="n"/>
      <c r="U6" s="46" t="n"/>
      <c r="V6" s="46" t="n"/>
      <c r="W6" s="46" t="n"/>
      <c r="X6" s="46" t="n"/>
      <c r="Y6" s="46" t="n"/>
      <c r="Z6" s="46" t="n"/>
    </row>
    <row r="7" ht="12.75" customHeight="1" s="162">
      <c r="A7" s="60" t="n"/>
      <c r="B7" s="61" t="n"/>
      <c r="C7" s="62" t="n"/>
      <c r="D7" s="62" t="n"/>
      <c r="E7" s="63" t="n"/>
      <c r="F7" s="63" t="n"/>
      <c r="G7" s="60" t="n"/>
      <c r="H7" s="60" t="n"/>
      <c r="I7" s="60" t="n"/>
      <c r="J7" s="60" t="n"/>
      <c r="K7" s="60" t="n"/>
      <c r="L7" s="60" t="n"/>
      <c r="M7" s="60" t="n"/>
      <c r="N7" s="60" t="n"/>
      <c r="O7" s="60" t="n"/>
      <c r="P7" s="60" t="n"/>
      <c r="Q7" s="60" t="n"/>
      <c r="R7" s="60" t="n"/>
      <c r="S7" s="60" t="n"/>
      <c r="T7" s="60" t="n"/>
      <c r="U7" s="60" t="n"/>
      <c r="V7" s="60" t="n"/>
      <c r="W7" s="60" t="n"/>
      <c r="X7" s="60" t="n"/>
      <c r="Y7" s="60" t="n"/>
      <c r="Z7" s="60" t="n"/>
    </row>
    <row r="8" ht="21" customHeight="1" s="162">
      <c r="A8" s="64" t="n"/>
      <c r="B8" s="65" t="inlineStr">
        <is>
          <t>No</t>
        </is>
      </c>
      <c r="C8" s="66" t="inlineStr">
        <is>
          <t>Function Name</t>
        </is>
      </c>
      <c r="D8" s="66" t="inlineStr">
        <is>
          <t>Sheet Name</t>
        </is>
      </c>
      <c r="E8" s="67" t="inlineStr">
        <is>
          <t>Description</t>
        </is>
      </c>
      <c r="F8" s="68" t="inlineStr">
        <is>
          <t>Pre-Condition</t>
        </is>
      </c>
      <c r="G8" s="64" t="n"/>
      <c r="H8" s="64" t="n"/>
      <c r="I8" s="64" t="n"/>
      <c r="J8" s="64" t="n"/>
      <c r="K8" s="64" t="n"/>
      <c r="L8" s="64" t="n"/>
      <c r="M8" s="64" t="n"/>
      <c r="N8" s="64" t="n"/>
      <c r="O8" s="64" t="n"/>
      <c r="P8" s="64" t="n"/>
      <c r="Q8" s="64" t="n"/>
      <c r="R8" s="64" t="n"/>
      <c r="S8" s="64" t="n"/>
      <c r="T8" s="64" t="n"/>
      <c r="U8" s="64" t="n"/>
      <c r="V8" s="64" t="n"/>
      <c r="W8" s="64" t="n"/>
      <c r="X8" s="64" t="n"/>
      <c r="Y8" s="64" t="n"/>
      <c r="Z8" s="64" t="n"/>
    </row>
    <row r="9" ht="37.5" customHeight="1" s="162">
      <c r="A9" s="46" t="n"/>
      <c r="B9" s="69" t="n">
        <v>1</v>
      </c>
      <c r="C9" s="70" t="inlineStr">
        <is>
          <t>View Today Patient Queue</t>
        </is>
      </c>
      <c r="D9" s="71" t="inlineStr">
        <is>
          <t>Patient_Queue_Dashboard</t>
        </is>
      </c>
      <c r="E9" s="72" t="inlineStr">
        <is>
          <t>Verify viewing the list of all patients for the current day</t>
        </is>
      </c>
      <c r="F9" s="73" t="inlineStr">
        <is>
          <t>Doctor is logged in</t>
        </is>
      </c>
      <c r="G9" s="46" t="n"/>
      <c r="H9" s="46" t="n"/>
      <c r="I9" s="46" t="n"/>
      <c r="J9" s="46" t="n"/>
      <c r="K9" s="46" t="n"/>
      <c r="L9" s="46" t="n"/>
      <c r="M9" s="46" t="n"/>
      <c r="N9" s="46" t="n"/>
      <c r="O9" s="46" t="n"/>
      <c r="P9" s="46" t="n"/>
      <c r="Q9" s="46" t="n"/>
      <c r="R9" s="46" t="n"/>
      <c r="S9" s="46" t="n"/>
      <c r="T9" s="46" t="n"/>
      <c r="U9" s="46" t="n"/>
      <c r="V9" s="46" t="n"/>
      <c r="W9" s="46" t="n"/>
      <c r="X9" s="46" t="n"/>
      <c r="Y9" s="46" t="n"/>
      <c r="Z9" s="46" t="n"/>
    </row>
    <row r="10" ht="48.75" customHeight="1" s="162">
      <c r="A10" s="46" t="n"/>
      <c r="B10" s="69" t="n">
        <v>2</v>
      </c>
      <c r="C10" s="70" t="inlineStr">
        <is>
          <t>Filter &amp; Search Patient</t>
        </is>
      </c>
      <c r="D10" s="71" t="inlineStr">
        <is>
          <t>Doctor_Dashboard</t>
        </is>
      </c>
      <c r="E10" s="72" t="inlineStr">
        <is>
          <t>Verify searching by patient name, patient phone number and filtering by status</t>
        </is>
      </c>
      <c r="F10" s="73" t="inlineStr">
        <is>
          <t>Queue contains patient data</t>
        </is>
      </c>
      <c r="G10" s="46" t="n"/>
      <c r="H10" s="46" t="n"/>
      <c r="I10" s="46" t="n"/>
      <c r="J10" s="46" t="n"/>
      <c r="K10" s="46" t="n"/>
      <c r="L10" s="46" t="n"/>
      <c r="M10" s="46" t="n"/>
      <c r="N10" s="46" t="n"/>
      <c r="O10" s="46" t="n"/>
      <c r="P10" s="46" t="n"/>
      <c r="Q10" s="46" t="n"/>
      <c r="R10" s="46" t="n"/>
      <c r="S10" s="46" t="n"/>
      <c r="T10" s="46" t="n"/>
      <c r="U10" s="46" t="n"/>
      <c r="V10" s="46" t="n"/>
      <c r="W10" s="46" t="n"/>
      <c r="X10" s="46" t="n"/>
      <c r="Y10" s="46" t="n"/>
      <c r="Z10" s="46" t="n"/>
    </row>
    <row r="11" ht="30.75" customHeight="1" s="162">
      <c r="A11" s="46" t="n"/>
      <c r="B11" s="69" t="n">
        <v>3</v>
      </c>
      <c r="C11" s="70" t="inlineStr">
        <is>
          <t>View Historical EMR</t>
        </is>
      </c>
      <c r="D11" s="71" t="inlineStr">
        <is>
          <t>EMR_Management!A1</t>
        </is>
      </c>
      <c r="E11" s="72" t="inlineStr">
        <is>
          <t>Verify reviewing past EMR records for full clinical context</t>
        </is>
      </c>
      <c r="F11" s="73" t="inlineStr">
        <is>
          <t>Patient has previous EMR</t>
        </is>
      </c>
      <c r="G11" s="46" t="n"/>
      <c r="H11" s="46" t="n"/>
      <c r="I11" s="46" t="n"/>
      <c r="J11" s="46" t="n"/>
      <c r="K11" s="46" t="n"/>
      <c r="L11" s="46" t="n"/>
      <c r="M11" s="46" t="n"/>
      <c r="N11" s="46" t="n"/>
      <c r="O11" s="46" t="n"/>
      <c r="P11" s="46" t="n"/>
      <c r="Q11" s="46" t="n"/>
      <c r="R11" s="46" t="n"/>
      <c r="S11" s="46" t="n"/>
      <c r="T11" s="46" t="n"/>
      <c r="U11" s="46" t="n"/>
      <c r="V11" s="46" t="n"/>
      <c r="W11" s="46" t="n"/>
      <c r="X11" s="46" t="n"/>
      <c r="Y11" s="46" t="n"/>
      <c r="Z11" s="46" t="n"/>
    </row>
    <row r="12" ht="25.5" customHeight="1" s="162">
      <c r="A12" s="46" t="n"/>
      <c r="B12" s="69" t="n">
        <v>4</v>
      </c>
      <c r="C12" s="70" t="inlineStr">
        <is>
          <t>Create New EMR</t>
        </is>
      </c>
      <c r="D12" s="71" t="inlineStr">
        <is>
          <t>EMR_Management!A1</t>
        </is>
      </c>
      <c r="E12" s="72" t="inlineStr">
        <is>
          <t>Verify clicking "Bắt đầu khám" button</t>
        </is>
      </c>
      <c r="F12" s="73" t="inlineStr">
        <is>
          <t>Patient 's appointment status is "Waiting" (Đang chờ)</t>
        </is>
      </c>
      <c r="G12" s="46" t="n"/>
      <c r="H12" s="46" t="n"/>
      <c r="I12" s="46" t="n"/>
      <c r="J12" s="46" t="n"/>
      <c r="K12" s="46" t="n"/>
      <c r="L12" s="46" t="n"/>
      <c r="M12" s="46" t="n"/>
      <c r="N12" s="46" t="n"/>
      <c r="O12" s="46" t="n"/>
      <c r="P12" s="46" t="n"/>
      <c r="Q12" s="46" t="n"/>
      <c r="R12" s="46" t="n"/>
      <c r="S12" s="46" t="n"/>
      <c r="T12" s="46" t="n"/>
      <c r="U12" s="46" t="n"/>
      <c r="V12" s="46" t="n"/>
      <c r="W12" s="46" t="n"/>
      <c r="X12" s="46" t="n"/>
      <c r="Y12" s="46" t="n"/>
      <c r="Z12" s="46" t="n"/>
    </row>
    <row r="13" ht="29.25" customHeight="1" s="162">
      <c r="A13" s="46" t="n"/>
      <c r="B13" s="69" t="n">
        <v>5</v>
      </c>
      <c r="C13" s="70" t="inlineStr">
        <is>
          <t>Save Draft EMR</t>
        </is>
      </c>
      <c r="D13" s="71" t="inlineStr">
        <is>
          <t>EMR_Management!A1</t>
        </is>
      </c>
      <c r="E13" s="72" t="inlineStr">
        <is>
          <t>Verify saving current EMR as a draft</t>
        </is>
      </c>
      <c r="F13" s="73" t="inlineStr">
        <is>
          <t>The button "Bắt đầu khám" is clicked</t>
        </is>
      </c>
      <c r="G13" s="46" t="n"/>
      <c r="H13" s="46" t="n"/>
      <c r="I13" s="46" t="n"/>
      <c r="J13" s="46" t="n"/>
      <c r="K13" s="46" t="n"/>
      <c r="L13" s="46" t="n"/>
      <c r="M13" s="46" t="n"/>
      <c r="N13" s="46" t="n"/>
      <c r="O13" s="46" t="n"/>
      <c r="P13" s="46" t="n"/>
      <c r="Q13" s="46" t="n"/>
      <c r="R13" s="46" t="n"/>
      <c r="S13" s="46" t="n"/>
      <c r="T13" s="46" t="n"/>
      <c r="U13" s="46" t="n"/>
      <c r="V13" s="46" t="n"/>
      <c r="W13" s="46" t="n"/>
      <c r="X13" s="46" t="n"/>
      <c r="Y13" s="46" t="n"/>
      <c r="Z13" s="46" t="n"/>
    </row>
    <row r="14" ht="31.5" customHeight="1" s="162">
      <c r="A14" s="46" t="n"/>
      <c r="B14" s="69" t="n">
        <v>6</v>
      </c>
      <c r="C14" s="70" t="inlineStr">
        <is>
          <t>Update "In_Progress" EMR</t>
        </is>
      </c>
      <c r="D14" s="71" t="inlineStr">
        <is>
          <t>EMR_Management!A1</t>
        </is>
      </c>
      <c r="E14" s="72" t="inlineStr">
        <is>
          <t>Verify updating fields in the EMR draft</t>
        </is>
      </c>
      <c r="F14" s="73" t="inlineStr">
        <is>
          <t>Patient's appointment status is "In_Progress" (Đang khám)</t>
        </is>
      </c>
      <c r="G14" s="46" t="n"/>
      <c r="H14" s="46" t="n"/>
      <c r="I14" s="46" t="n"/>
      <c r="J14" s="46" t="n"/>
      <c r="K14" s="46" t="n"/>
      <c r="L14" s="46" t="n"/>
      <c r="M14" s="46" t="n"/>
      <c r="N14" s="46" t="n"/>
      <c r="O14" s="46" t="n"/>
      <c r="P14" s="46" t="n"/>
      <c r="Q14" s="46" t="n"/>
      <c r="R14" s="46" t="n"/>
      <c r="S14" s="46" t="n"/>
      <c r="T14" s="46" t="n"/>
      <c r="U14" s="46" t="n"/>
      <c r="V14" s="46" t="n"/>
      <c r="W14" s="46" t="n"/>
      <c r="X14" s="46" t="n"/>
      <c r="Y14" s="46" t="n"/>
      <c r="Z14" s="46" t="n"/>
    </row>
    <row r="15" ht="42" customHeight="1" s="162">
      <c r="A15" s="46" t="n"/>
      <c r="B15" s="69" t="n">
        <v>7</v>
      </c>
      <c r="C15" s="70" t="inlineStr">
        <is>
          <t>Finalize Examination</t>
        </is>
      </c>
      <c r="D15" s="71" t="inlineStr">
        <is>
          <t>EMR_Management!A1</t>
        </is>
      </c>
      <c r="E15" s="72" t="inlineStr">
        <is>
          <t>Verify clicking "Hoàn thành khám" button</t>
        </is>
      </c>
      <c r="F15" s="73" t="inlineStr">
        <is>
          <t>Patient's appointment status is either "Waiting" (Đang chờ) or "In Progress" (Đang khám)</t>
        </is>
      </c>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row>
    <row r="16" ht="31.5" customHeight="1" s="162">
      <c r="A16" s="46" t="n"/>
      <c r="B16" s="69" t="n">
        <v>8</v>
      </c>
      <c r="C16" s="70" t="inlineStr">
        <is>
          <t>Read-Only EMR Enforcement</t>
        </is>
      </c>
      <c r="D16" s="71" t="inlineStr">
        <is>
          <t>EMR_Management!A1</t>
        </is>
      </c>
      <c r="E16" s="72" t="inlineStr">
        <is>
          <t>Verify finalized EMR records are strictly read-only</t>
        </is>
      </c>
      <c r="F16" s="73" t="inlineStr">
        <is>
          <t>EMR status is "Completed" (Đã hoàn thành)</t>
        </is>
      </c>
      <c r="G16" s="46" t="n"/>
      <c r="H16" s="46" t="n"/>
      <c r="I16" s="46" t="n"/>
      <c r="J16" s="46" t="n"/>
      <c r="K16" s="46" t="n"/>
      <c r="L16" s="46" t="n"/>
      <c r="M16" s="46" t="n"/>
      <c r="N16" s="46" t="n"/>
      <c r="O16" s="46" t="n"/>
      <c r="P16" s="46" t="n"/>
      <c r="Q16" s="46" t="n"/>
      <c r="R16" s="46" t="n"/>
      <c r="S16" s="46" t="n"/>
      <c r="T16" s="46" t="n"/>
      <c r="U16" s="46" t="n"/>
      <c r="V16" s="46" t="n"/>
      <c r="W16" s="46" t="n"/>
      <c r="X16" s="46" t="n"/>
      <c r="Y16" s="46" t="n"/>
      <c r="Z16" s="46" t="n"/>
    </row>
    <row r="17" ht="12.75" customHeight="1" s="162">
      <c r="A17" s="46" t="n"/>
      <c r="B17" s="69" t="n"/>
      <c r="C17" s="70" t="n"/>
      <c r="D17" s="74" t="n"/>
      <c r="E17" s="75" t="n"/>
      <c r="F17" s="73"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row>
    <row r="18" ht="12.75" customHeight="1" s="162">
      <c r="A18" s="46" t="n"/>
      <c r="B18" s="69" t="n"/>
      <c r="C18" s="70" t="n"/>
      <c r="D18" s="74" t="n"/>
      <c r="E18" s="75" t="n"/>
      <c r="F18" s="73" t="n"/>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row>
    <row r="19" ht="12.75" customHeight="1" s="162">
      <c r="A19" s="46" t="n"/>
      <c r="B19" s="69" t="n"/>
      <c r="C19" s="70" t="n"/>
      <c r="D19" s="74" t="n"/>
      <c r="E19" s="75" t="n"/>
      <c r="F19" s="73"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row>
    <row r="20" ht="12.75" customHeight="1" s="162">
      <c r="A20" s="46" t="n"/>
      <c r="B20" s="69" t="n"/>
      <c r="C20" s="70" t="n"/>
      <c r="D20" s="74" t="n"/>
      <c r="E20" s="75" t="n"/>
      <c r="F20" s="73" t="n"/>
      <c r="G20" s="46" t="n"/>
      <c r="H20" s="46" t="n"/>
      <c r="I20" s="46" t="n"/>
      <c r="J20" s="46" t="n"/>
      <c r="K20" s="46" t="n"/>
      <c r="L20" s="46" t="n"/>
      <c r="M20" s="46" t="n"/>
      <c r="N20" s="46" t="n"/>
      <c r="O20" s="46" t="n"/>
      <c r="P20" s="46" t="n"/>
      <c r="Q20" s="46" t="n"/>
      <c r="R20" s="46" t="n"/>
      <c r="S20" s="46" t="n"/>
      <c r="T20" s="46" t="n"/>
      <c r="U20" s="46" t="n"/>
      <c r="V20" s="46" t="n"/>
      <c r="W20" s="46" t="n"/>
      <c r="X20" s="46" t="n"/>
      <c r="Y20" s="46" t="n"/>
      <c r="Z20" s="46" t="n"/>
    </row>
    <row r="21" ht="12.75" customHeight="1" s="162">
      <c r="A21" s="46" t="n"/>
      <c r="B21" s="76" t="n"/>
      <c r="C21" s="77" t="n"/>
      <c r="D21" s="78" t="n"/>
      <c r="E21" s="79" t="n"/>
      <c r="F21" s="80"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row>
    <row r="22" ht="12.75" customHeight="1" s="162">
      <c r="A22" s="46" t="n"/>
      <c r="B22" s="47" t="n"/>
      <c r="C22" s="48" t="n"/>
      <c r="D22" s="48" t="n"/>
      <c r="E22" s="51" t="n"/>
      <c r="F22" s="51" t="n"/>
      <c r="G22" s="46" t="n"/>
      <c r="H22" s="46" t="n"/>
      <c r="I22" s="46" t="n"/>
      <c r="J22" s="46" t="n"/>
      <c r="K22" s="46" t="n"/>
      <c r="L22" s="46" t="n"/>
      <c r="M22" s="46" t="n"/>
      <c r="N22" s="46" t="n"/>
      <c r="O22" s="46" t="n"/>
      <c r="P22" s="46" t="n"/>
      <c r="Q22" s="46" t="n"/>
      <c r="R22" s="46" t="n"/>
      <c r="S22" s="46" t="n"/>
      <c r="T22" s="46" t="n"/>
      <c r="U22" s="46" t="n"/>
      <c r="V22" s="46" t="n"/>
      <c r="W22" s="46" t="n"/>
      <c r="X22" s="46" t="n"/>
      <c r="Y22" s="46" t="n"/>
      <c r="Z22" s="46" t="n"/>
    </row>
    <row r="23" ht="12.75" customHeight="1" s="162">
      <c r="A23" s="46" t="n"/>
      <c r="B23" s="47" t="n"/>
      <c r="C23" s="48" t="n"/>
      <c r="D23" s="48" t="n"/>
      <c r="E23" s="51" t="n"/>
      <c r="F23" s="51"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row>
    <row r="24" ht="12.75" customHeight="1" s="162">
      <c r="A24" s="46" t="n"/>
      <c r="B24" s="47" t="n"/>
      <c r="C24" s="48" t="n"/>
      <c r="D24" s="48" t="n"/>
      <c r="E24" s="51" t="n"/>
      <c r="F24" s="51" t="n"/>
      <c r="G24" s="46" t="n"/>
      <c r="H24" s="46" t="n"/>
      <c r="I24" s="46" t="n"/>
      <c r="J24" s="46" t="n"/>
      <c r="K24" s="46" t="n"/>
      <c r="L24" s="46" t="n"/>
      <c r="M24" s="46" t="n"/>
      <c r="N24" s="46" t="n"/>
      <c r="O24" s="46" t="n"/>
      <c r="P24" s="46" t="n"/>
      <c r="Q24" s="46" t="n"/>
      <c r="R24" s="46" t="n"/>
      <c r="S24" s="46" t="n"/>
      <c r="T24" s="46" t="n"/>
      <c r="U24" s="46" t="n"/>
      <c r="V24" s="46" t="n"/>
      <c r="W24" s="46" t="n"/>
      <c r="X24" s="46" t="n"/>
      <c r="Y24" s="46" t="n"/>
      <c r="Z24" s="46" t="n"/>
    </row>
    <row r="25" ht="12.75" customHeight="1" s="162">
      <c r="A25" s="46" t="n"/>
      <c r="B25" s="47" t="n"/>
      <c r="C25" s="48" t="n"/>
      <c r="D25" s="48" t="n"/>
      <c r="E25" s="51" t="n"/>
      <c r="F25" s="51"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row>
    <row r="26" ht="12.75" customHeight="1" s="162">
      <c r="A26" s="46" t="n"/>
      <c r="B26" s="47" t="n"/>
      <c r="C26" s="48" t="n"/>
      <c r="D26" s="48" t="n"/>
      <c r="E26" s="51" t="n"/>
      <c r="F26" s="51" t="n"/>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row>
    <row r="27" ht="12.75" customHeight="1" s="162">
      <c r="A27" s="46" t="n"/>
      <c r="B27" s="47" t="n"/>
      <c r="C27" s="48" t="n"/>
      <c r="D27" s="48" t="n"/>
      <c r="E27" s="51" t="n"/>
      <c r="F27" s="51"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row>
    <row r="28" ht="12.75" customHeight="1" s="162">
      <c r="A28" s="46" t="n"/>
      <c r="B28" s="47" t="n"/>
      <c r="C28" s="48" t="n"/>
      <c r="D28" s="48" t="n"/>
      <c r="E28" s="51" t="n"/>
      <c r="F28" s="51" t="n"/>
      <c r="G28" s="46" t="n"/>
      <c r="H28" s="46" t="n"/>
      <c r="I28" s="46" t="n"/>
      <c r="J28" s="46" t="n"/>
      <c r="K28" s="46" t="n"/>
      <c r="L28" s="46" t="n"/>
      <c r="M28" s="46" t="n"/>
      <c r="N28" s="46" t="n"/>
      <c r="O28" s="46" t="n"/>
      <c r="P28" s="46" t="n"/>
      <c r="Q28" s="46" t="n"/>
      <c r="R28" s="46" t="n"/>
      <c r="S28" s="46" t="n"/>
      <c r="T28" s="46" t="n"/>
      <c r="U28" s="46" t="n"/>
      <c r="V28" s="46" t="n"/>
      <c r="W28" s="46" t="n"/>
      <c r="X28" s="46" t="n"/>
      <c r="Y28" s="46" t="n"/>
      <c r="Z28" s="46" t="n"/>
    </row>
    <row r="29" ht="12.75" customHeight="1" s="162">
      <c r="A29" s="46" t="n"/>
      <c r="B29" s="47" t="n"/>
      <c r="C29" s="48" t="n"/>
      <c r="D29" s="48" t="n"/>
      <c r="E29" s="51" t="n"/>
      <c r="F29" s="51"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row>
    <row r="30" ht="12.75" customHeight="1" s="162">
      <c r="A30" s="46" t="n"/>
      <c r="B30" s="47" t="n"/>
      <c r="C30" s="48" t="n"/>
      <c r="D30" s="48" t="n"/>
      <c r="E30" s="51" t="n"/>
      <c r="F30" s="51" t="n"/>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row>
    <row r="31" ht="12.75" customHeight="1" s="162">
      <c r="A31" s="46" t="n"/>
      <c r="B31" s="47" t="n"/>
      <c r="C31" s="48" t="n"/>
      <c r="D31" s="48" t="n"/>
      <c r="E31" s="51" t="n"/>
      <c r="F31" s="51"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row>
    <row r="32" ht="12.75" customHeight="1" s="162">
      <c r="A32" s="46" t="n"/>
      <c r="B32" s="47" t="n"/>
      <c r="C32" s="48" t="n"/>
      <c r="D32" s="48" t="n"/>
      <c r="E32" s="51" t="n"/>
      <c r="F32" s="51" t="n"/>
      <c r="G32" s="46" t="n"/>
      <c r="H32" s="46" t="n"/>
      <c r="I32" s="46" t="n"/>
      <c r="J32" s="46" t="n"/>
      <c r="K32" s="46" t="n"/>
      <c r="L32" s="46" t="n"/>
      <c r="M32" s="46" t="n"/>
      <c r="N32" s="46" t="n"/>
      <c r="O32" s="46" t="n"/>
      <c r="P32" s="46" t="n"/>
      <c r="Q32" s="46" t="n"/>
      <c r="R32" s="46" t="n"/>
      <c r="S32" s="46" t="n"/>
      <c r="T32" s="46" t="n"/>
      <c r="U32" s="46" t="n"/>
      <c r="V32" s="46" t="n"/>
      <c r="W32" s="46" t="n"/>
      <c r="X32" s="46" t="n"/>
      <c r="Y32" s="46" t="n"/>
      <c r="Z32" s="46" t="n"/>
    </row>
    <row r="33" ht="12.75" customHeight="1" s="162">
      <c r="A33" s="46" t="n"/>
      <c r="B33" s="47" t="n"/>
      <c r="C33" s="48" t="n"/>
      <c r="D33" s="48" t="n"/>
      <c r="E33" s="51" t="n"/>
      <c r="F33" s="51"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row>
    <row r="34" ht="12.75" customHeight="1" s="162">
      <c r="A34" s="46" t="n"/>
      <c r="B34" s="47" t="n"/>
      <c r="C34" s="48" t="n"/>
      <c r="D34" s="48" t="n"/>
      <c r="E34" s="51" t="n"/>
      <c r="F34" s="51"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row>
    <row r="35" ht="12.75" customHeight="1" s="162">
      <c r="A35" s="46" t="n"/>
      <c r="B35" s="47" t="n"/>
      <c r="C35" s="48" t="n"/>
      <c r="D35" s="48" t="n"/>
      <c r="E35" s="51" t="n"/>
      <c r="F35" s="51" t="n"/>
      <c r="G35" s="46" t="n"/>
      <c r="H35" s="46" t="n"/>
      <c r="I35" s="46" t="n"/>
      <c r="J35" s="46" t="n"/>
      <c r="K35" s="46" t="n"/>
      <c r="L35" s="46" t="n"/>
      <c r="M35" s="46" t="n"/>
      <c r="N35" s="46" t="n"/>
      <c r="O35" s="46" t="n"/>
      <c r="P35" s="46" t="n"/>
      <c r="Q35" s="46" t="n"/>
      <c r="R35" s="46" t="n"/>
      <c r="S35" s="46" t="n"/>
      <c r="T35" s="46" t="n"/>
      <c r="U35" s="46" t="n"/>
      <c r="V35" s="46" t="n"/>
      <c r="W35" s="46" t="n"/>
      <c r="X35" s="46" t="n"/>
      <c r="Y35" s="46" t="n"/>
      <c r="Z35" s="46" t="n"/>
    </row>
    <row r="36" ht="12.75" customHeight="1" s="162">
      <c r="A36" s="46" t="n"/>
      <c r="B36" s="47" t="n"/>
      <c r="C36" s="48" t="n"/>
      <c r="D36" s="48" t="n"/>
      <c r="E36" s="51" t="n"/>
      <c r="F36" s="51" t="n"/>
      <c r="G36" s="46" t="n"/>
      <c r="H36" s="46" t="n"/>
      <c r="I36" s="46" t="n"/>
      <c r="J36" s="46" t="n"/>
      <c r="K36" s="46" t="n"/>
      <c r="L36" s="46" t="n"/>
      <c r="M36" s="46" t="n"/>
      <c r="N36" s="46" t="n"/>
      <c r="O36" s="46" t="n"/>
      <c r="P36" s="46" t="n"/>
      <c r="Q36" s="46" t="n"/>
      <c r="R36" s="46" t="n"/>
      <c r="S36" s="46" t="n"/>
      <c r="T36" s="46" t="n"/>
      <c r="U36" s="46" t="n"/>
      <c r="V36" s="46" t="n"/>
      <c r="W36" s="46" t="n"/>
      <c r="X36" s="46" t="n"/>
      <c r="Y36" s="46" t="n"/>
      <c r="Z36" s="46" t="n"/>
    </row>
    <row r="37" ht="12.75" customHeight="1" s="162">
      <c r="A37" s="46" t="n"/>
      <c r="B37" s="47" t="n"/>
      <c r="C37" s="48" t="n"/>
      <c r="D37" s="48" t="n"/>
      <c r="E37" s="51" t="n"/>
      <c r="F37" s="51" t="n"/>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row>
    <row r="38" ht="12.75" customHeight="1" s="162">
      <c r="A38" s="46" t="n"/>
      <c r="B38" s="47" t="n"/>
      <c r="C38" s="48" t="n"/>
      <c r="D38" s="48" t="n"/>
      <c r="E38" s="51" t="n"/>
      <c r="F38" s="51" t="n"/>
      <c r="G38" s="46" t="n"/>
      <c r="H38" s="46" t="n"/>
      <c r="I38" s="46" t="n"/>
      <c r="J38" s="46" t="n"/>
      <c r="K38" s="46" t="n"/>
      <c r="L38" s="46" t="n"/>
      <c r="M38" s="46" t="n"/>
      <c r="N38" s="46" t="n"/>
      <c r="O38" s="46" t="n"/>
      <c r="P38" s="46" t="n"/>
      <c r="Q38" s="46" t="n"/>
      <c r="R38" s="46" t="n"/>
      <c r="S38" s="46" t="n"/>
      <c r="T38" s="46" t="n"/>
      <c r="U38" s="46" t="n"/>
      <c r="V38" s="46" t="n"/>
      <c r="W38" s="46" t="n"/>
      <c r="X38" s="46" t="n"/>
      <c r="Y38" s="46" t="n"/>
      <c r="Z38" s="46" t="n"/>
    </row>
    <row r="39" ht="12.75" customHeight="1" s="162">
      <c r="A39" s="46" t="n"/>
      <c r="B39" s="47" t="n"/>
      <c r="C39" s="48" t="n"/>
      <c r="D39" s="48" t="n"/>
      <c r="E39" s="51" t="n"/>
      <c r="F39" s="51"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row>
    <row r="40" ht="12.75" customHeight="1" s="162">
      <c r="A40" s="46" t="n"/>
      <c r="B40" s="47" t="n"/>
      <c r="C40" s="48" t="n"/>
      <c r="D40" s="48" t="n"/>
      <c r="E40" s="51" t="n"/>
      <c r="F40" s="51" t="n"/>
      <c r="G40" s="46" t="n"/>
      <c r="H40" s="46" t="n"/>
      <c r="I40" s="46" t="n"/>
      <c r="J40" s="46" t="n"/>
      <c r="K40" s="46" t="n"/>
      <c r="L40" s="46" t="n"/>
      <c r="M40" s="46" t="n"/>
      <c r="N40" s="46" t="n"/>
      <c r="O40" s="46" t="n"/>
      <c r="P40" s="46" t="n"/>
      <c r="Q40" s="46" t="n"/>
      <c r="R40" s="46" t="n"/>
      <c r="S40" s="46" t="n"/>
      <c r="T40" s="46" t="n"/>
      <c r="U40" s="46" t="n"/>
      <c r="V40" s="46" t="n"/>
      <c r="W40" s="46" t="n"/>
      <c r="X40" s="46" t="n"/>
      <c r="Y40" s="46" t="n"/>
      <c r="Z40" s="46" t="n"/>
    </row>
    <row r="41" ht="12.75" customHeight="1" s="162">
      <c r="A41" s="46" t="n"/>
      <c r="B41" s="47" t="n"/>
      <c r="C41" s="48" t="n"/>
      <c r="D41" s="48" t="n"/>
      <c r="E41" s="51" t="n"/>
      <c r="F41" s="51"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row>
    <row r="42" ht="12.75" customHeight="1" s="162">
      <c r="A42" s="46" t="n"/>
      <c r="B42" s="47" t="n"/>
      <c r="C42" s="48" t="n"/>
      <c r="D42" s="48" t="n"/>
      <c r="E42" s="51" t="n"/>
      <c r="F42" s="51" t="n"/>
      <c r="G42" s="46" t="n"/>
      <c r="H42" s="46" t="n"/>
      <c r="I42" s="46" t="n"/>
      <c r="J42" s="46" t="n"/>
      <c r="K42" s="46" t="n"/>
      <c r="L42" s="46" t="n"/>
      <c r="M42" s="46" t="n"/>
      <c r="N42" s="46" t="n"/>
      <c r="O42" s="46" t="n"/>
      <c r="P42" s="46" t="n"/>
      <c r="Q42" s="46" t="n"/>
      <c r="R42" s="46" t="n"/>
      <c r="S42" s="46" t="n"/>
      <c r="T42" s="46" t="n"/>
      <c r="U42" s="46" t="n"/>
      <c r="V42" s="46" t="n"/>
      <c r="W42" s="46" t="n"/>
      <c r="X42" s="46" t="n"/>
      <c r="Y42" s="46" t="n"/>
      <c r="Z42" s="46" t="n"/>
    </row>
    <row r="43" ht="12.75" customHeight="1" s="162">
      <c r="A43" s="46" t="n"/>
      <c r="B43" s="47" t="n"/>
      <c r="C43" s="48" t="n"/>
      <c r="D43" s="48" t="n"/>
      <c r="E43" s="51" t="n"/>
      <c r="F43" s="51"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row>
    <row r="44" ht="12.75" customHeight="1" s="162">
      <c r="A44" s="46" t="n"/>
      <c r="B44" s="47" t="n"/>
      <c r="C44" s="48" t="n"/>
      <c r="D44" s="48" t="n"/>
      <c r="E44" s="51" t="n"/>
      <c r="F44" s="51" t="n"/>
      <c r="G44" s="46" t="n"/>
      <c r="H44" s="46" t="n"/>
      <c r="I44" s="46" t="n"/>
      <c r="J44" s="46" t="n"/>
      <c r="K44" s="46" t="n"/>
      <c r="L44" s="46" t="n"/>
      <c r="M44" s="46" t="n"/>
      <c r="N44" s="46" t="n"/>
      <c r="O44" s="46" t="n"/>
      <c r="P44" s="46" t="n"/>
      <c r="Q44" s="46" t="n"/>
      <c r="R44" s="46" t="n"/>
      <c r="S44" s="46" t="n"/>
      <c r="T44" s="46" t="n"/>
      <c r="U44" s="46" t="n"/>
      <c r="V44" s="46" t="n"/>
      <c r="W44" s="46" t="n"/>
      <c r="X44" s="46" t="n"/>
      <c r="Y44" s="46" t="n"/>
      <c r="Z44" s="46" t="n"/>
    </row>
    <row r="45" ht="12.75" customHeight="1" s="162">
      <c r="A45" s="46" t="n"/>
      <c r="B45" s="47" t="n"/>
      <c r="C45" s="48" t="n"/>
      <c r="D45" s="48" t="n"/>
      <c r="E45" s="51" t="n"/>
      <c r="F45" s="51"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row>
    <row r="46" ht="12.75" customHeight="1" s="162">
      <c r="A46" s="46" t="n"/>
      <c r="B46" s="47" t="n"/>
      <c r="C46" s="48" t="n"/>
      <c r="D46" s="48" t="n"/>
      <c r="E46" s="51" t="n"/>
      <c r="F46" s="51" t="n"/>
      <c r="G46" s="46" t="n"/>
      <c r="H46" s="46" t="n"/>
      <c r="I46" s="46" t="n"/>
      <c r="J46" s="46" t="n"/>
      <c r="K46" s="46" t="n"/>
      <c r="L46" s="46" t="n"/>
      <c r="M46" s="46" t="n"/>
      <c r="N46" s="46" t="n"/>
      <c r="O46" s="46" t="n"/>
      <c r="P46" s="46" t="n"/>
      <c r="Q46" s="46" t="n"/>
      <c r="R46" s="46" t="n"/>
      <c r="S46" s="46" t="n"/>
      <c r="T46" s="46" t="n"/>
      <c r="U46" s="46" t="n"/>
      <c r="V46" s="46" t="n"/>
      <c r="W46" s="46" t="n"/>
      <c r="X46" s="46" t="n"/>
      <c r="Y46" s="46" t="n"/>
      <c r="Z46" s="46" t="n"/>
    </row>
    <row r="47" ht="12.75" customHeight="1" s="162">
      <c r="A47" s="46" t="n"/>
      <c r="B47" s="47" t="n"/>
      <c r="C47" s="48" t="n"/>
      <c r="D47" s="48" t="n"/>
      <c r="E47" s="51" t="n"/>
      <c r="F47" s="51" t="n"/>
      <c r="G47" s="46" t="n"/>
      <c r="H47" s="46" t="n"/>
      <c r="I47" s="46" t="n"/>
      <c r="J47" s="46" t="n"/>
      <c r="K47" s="46" t="n"/>
      <c r="L47" s="46" t="n"/>
      <c r="M47" s="46" t="n"/>
      <c r="N47" s="46" t="n"/>
      <c r="O47" s="46" t="n"/>
      <c r="P47" s="46" t="n"/>
      <c r="Q47" s="46" t="n"/>
      <c r="R47" s="46" t="n"/>
      <c r="S47" s="46" t="n"/>
      <c r="T47" s="46" t="n"/>
      <c r="U47" s="46" t="n"/>
      <c r="V47" s="46" t="n"/>
      <c r="W47" s="46" t="n"/>
      <c r="X47" s="46" t="n"/>
      <c r="Y47" s="46" t="n"/>
      <c r="Z47" s="46" t="n"/>
    </row>
    <row r="48" ht="12.75" customHeight="1" s="162">
      <c r="A48" s="46" t="n"/>
      <c r="B48" s="47" t="n"/>
      <c r="C48" s="48" t="n"/>
      <c r="D48" s="48" t="n"/>
      <c r="E48" s="51" t="n"/>
      <c r="F48" s="51" t="n"/>
      <c r="G48" s="46" t="n"/>
      <c r="H48" s="46" t="n"/>
      <c r="I48" s="46" t="n"/>
      <c r="J48" s="46" t="n"/>
      <c r="K48" s="46" t="n"/>
      <c r="L48" s="46" t="n"/>
      <c r="M48" s="46" t="n"/>
      <c r="N48" s="46" t="n"/>
      <c r="O48" s="46" t="n"/>
      <c r="P48" s="46" t="n"/>
      <c r="Q48" s="46" t="n"/>
      <c r="R48" s="46" t="n"/>
      <c r="S48" s="46" t="n"/>
      <c r="T48" s="46" t="n"/>
      <c r="U48" s="46" t="n"/>
      <c r="V48" s="46" t="n"/>
      <c r="W48" s="46" t="n"/>
      <c r="X48" s="46" t="n"/>
      <c r="Y48" s="46" t="n"/>
      <c r="Z48" s="46" t="n"/>
    </row>
    <row r="49" ht="12.75" customHeight="1" s="162">
      <c r="A49" s="46" t="n"/>
      <c r="B49" s="47" t="n"/>
      <c r="C49" s="48" t="n"/>
      <c r="D49" s="48" t="n"/>
      <c r="E49" s="51" t="n"/>
      <c r="F49" s="51"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row>
    <row r="50" ht="12.75" customHeight="1" s="162">
      <c r="A50" s="46" t="n"/>
      <c r="B50" s="47" t="n"/>
      <c r="C50" s="48" t="n"/>
      <c r="D50" s="48" t="n"/>
      <c r="E50" s="51" t="n"/>
      <c r="F50" s="51" t="n"/>
      <c r="G50" s="46" t="n"/>
      <c r="H50" s="46" t="n"/>
      <c r="I50" s="46" t="n"/>
      <c r="J50" s="46" t="n"/>
      <c r="K50" s="46" t="n"/>
      <c r="L50" s="46" t="n"/>
      <c r="M50" s="46" t="n"/>
      <c r="N50" s="46" t="n"/>
      <c r="O50" s="46" t="n"/>
      <c r="P50" s="46" t="n"/>
      <c r="Q50" s="46" t="n"/>
      <c r="R50" s="46" t="n"/>
      <c r="S50" s="46" t="n"/>
      <c r="T50" s="46" t="n"/>
      <c r="U50" s="46" t="n"/>
      <c r="V50" s="46" t="n"/>
      <c r="W50" s="46" t="n"/>
      <c r="X50" s="46" t="n"/>
      <c r="Y50" s="46" t="n"/>
      <c r="Z50" s="46" t="n"/>
    </row>
    <row r="51" ht="12.75" customHeight="1" s="162">
      <c r="A51" s="46" t="n"/>
      <c r="B51" s="47" t="n"/>
      <c r="C51" s="48" t="n"/>
      <c r="D51" s="48" t="n"/>
      <c r="E51" s="51" t="n"/>
      <c r="F51" s="51"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row>
    <row r="52" ht="12.75" customHeight="1" s="162">
      <c r="A52" s="46" t="n"/>
      <c r="B52" s="47" t="n"/>
      <c r="C52" s="48" t="n"/>
      <c r="D52" s="48" t="n"/>
      <c r="E52" s="51" t="n"/>
      <c r="F52" s="51" t="n"/>
      <c r="G52" s="46" t="n"/>
      <c r="H52" s="46" t="n"/>
      <c r="I52" s="46" t="n"/>
      <c r="J52" s="46" t="n"/>
      <c r="K52" s="46" t="n"/>
      <c r="L52" s="46" t="n"/>
      <c r="M52" s="46" t="n"/>
      <c r="N52" s="46" t="n"/>
      <c r="O52" s="46" t="n"/>
      <c r="P52" s="46" t="n"/>
      <c r="Q52" s="46" t="n"/>
      <c r="R52" s="46" t="n"/>
      <c r="S52" s="46" t="n"/>
      <c r="T52" s="46" t="n"/>
      <c r="U52" s="46" t="n"/>
      <c r="V52" s="46" t="n"/>
      <c r="W52" s="46" t="n"/>
      <c r="X52" s="46" t="n"/>
      <c r="Y52" s="46" t="n"/>
      <c r="Z52" s="46" t="n"/>
    </row>
    <row r="53" ht="12.75" customHeight="1" s="162">
      <c r="A53" s="46" t="n"/>
      <c r="B53" s="47" t="n"/>
      <c r="C53" s="48" t="n"/>
      <c r="D53" s="48" t="n"/>
      <c r="E53" s="51" t="n"/>
      <c r="F53" s="51" t="n"/>
      <c r="G53" s="46" t="n"/>
      <c r="H53" s="46" t="n"/>
      <c r="I53" s="46" t="n"/>
      <c r="J53" s="46" t="n"/>
      <c r="K53" s="46" t="n"/>
      <c r="L53" s="46" t="n"/>
      <c r="M53" s="46" t="n"/>
      <c r="N53" s="46" t="n"/>
      <c r="O53" s="46" t="n"/>
      <c r="P53" s="46" t="n"/>
      <c r="Q53" s="46" t="n"/>
      <c r="R53" s="46" t="n"/>
      <c r="S53" s="46" t="n"/>
      <c r="T53" s="46" t="n"/>
      <c r="U53" s="46" t="n"/>
      <c r="V53" s="46" t="n"/>
      <c r="W53" s="46" t="n"/>
      <c r="X53" s="46" t="n"/>
      <c r="Y53" s="46" t="n"/>
      <c r="Z53" s="46" t="n"/>
    </row>
    <row r="54" ht="12.75" customHeight="1" s="162">
      <c r="A54" s="46" t="n"/>
      <c r="B54" s="47" t="n"/>
      <c r="C54" s="48" t="n"/>
      <c r="D54" s="48" t="n"/>
      <c r="E54" s="51" t="n"/>
      <c r="F54" s="51" t="n"/>
      <c r="G54" s="46" t="n"/>
      <c r="H54" s="46" t="n"/>
      <c r="I54" s="46" t="n"/>
      <c r="J54" s="46" t="n"/>
      <c r="K54" s="46" t="n"/>
      <c r="L54" s="46" t="n"/>
      <c r="M54" s="46" t="n"/>
      <c r="N54" s="46" t="n"/>
      <c r="O54" s="46" t="n"/>
      <c r="P54" s="46" t="n"/>
      <c r="Q54" s="46" t="n"/>
      <c r="R54" s="46" t="n"/>
      <c r="S54" s="46" t="n"/>
      <c r="T54" s="46" t="n"/>
      <c r="U54" s="46" t="n"/>
      <c r="V54" s="46" t="n"/>
      <c r="W54" s="46" t="n"/>
      <c r="X54" s="46" t="n"/>
      <c r="Y54" s="46" t="n"/>
      <c r="Z54" s="46" t="n"/>
    </row>
    <row r="55" ht="12.75" customHeight="1" s="162">
      <c r="A55" s="46" t="n"/>
      <c r="B55" s="47" t="n"/>
      <c r="C55" s="48" t="n"/>
      <c r="D55" s="48" t="n"/>
      <c r="E55" s="51" t="n"/>
      <c r="F55" s="51"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row>
    <row r="56" ht="12.75" customHeight="1" s="162">
      <c r="A56" s="46" t="n"/>
      <c r="B56" s="47" t="n"/>
      <c r="C56" s="48" t="n"/>
      <c r="D56" s="48" t="n"/>
      <c r="E56" s="51" t="n"/>
      <c r="F56" s="51" t="n"/>
      <c r="G56" s="46" t="n"/>
      <c r="H56" s="46" t="n"/>
      <c r="I56" s="46" t="n"/>
      <c r="J56" s="46" t="n"/>
      <c r="K56" s="46" t="n"/>
      <c r="L56" s="46" t="n"/>
      <c r="M56" s="46" t="n"/>
      <c r="N56" s="46" t="n"/>
      <c r="O56" s="46" t="n"/>
      <c r="P56" s="46" t="n"/>
      <c r="Q56" s="46" t="n"/>
      <c r="R56" s="46" t="n"/>
      <c r="S56" s="46" t="n"/>
      <c r="T56" s="46" t="n"/>
      <c r="U56" s="46" t="n"/>
      <c r="V56" s="46" t="n"/>
      <c r="W56" s="46" t="n"/>
      <c r="X56" s="46" t="n"/>
      <c r="Y56" s="46" t="n"/>
      <c r="Z56" s="46" t="n"/>
    </row>
    <row r="57" ht="12.75" customHeight="1" s="162">
      <c r="A57" s="46" t="n"/>
      <c r="B57" s="47" t="n"/>
      <c r="C57" s="48" t="n"/>
      <c r="D57" s="48" t="n"/>
      <c r="E57" s="51" t="n"/>
      <c r="F57" s="51"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row>
    <row r="58" ht="12.75" customHeight="1" s="162">
      <c r="A58" s="46" t="n"/>
      <c r="B58" s="47" t="n"/>
      <c r="C58" s="48" t="n"/>
      <c r="D58" s="48" t="n"/>
      <c r="E58" s="51" t="n"/>
      <c r="F58" s="51" t="n"/>
      <c r="G58" s="46" t="n"/>
      <c r="H58" s="46" t="n"/>
      <c r="I58" s="46" t="n"/>
      <c r="J58" s="46" t="n"/>
      <c r="K58" s="46" t="n"/>
      <c r="L58" s="46" t="n"/>
      <c r="M58" s="46" t="n"/>
      <c r="N58" s="46" t="n"/>
      <c r="O58" s="46" t="n"/>
      <c r="P58" s="46" t="n"/>
      <c r="Q58" s="46" t="n"/>
      <c r="R58" s="46" t="n"/>
      <c r="S58" s="46" t="n"/>
      <c r="T58" s="46" t="n"/>
      <c r="U58" s="46" t="n"/>
      <c r="V58" s="46" t="n"/>
      <c r="W58" s="46" t="n"/>
      <c r="X58" s="46" t="n"/>
      <c r="Y58" s="46" t="n"/>
      <c r="Z58" s="46" t="n"/>
    </row>
    <row r="59" ht="12.75" customHeight="1" s="162">
      <c r="A59" s="46" t="n"/>
      <c r="B59" s="47" t="n"/>
      <c r="C59" s="48" t="n"/>
      <c r="D59" s="48" t="n"/>
      <c r="E59" s="51" t="n"/>
      <c r="F59" s="51"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row>
    <row r="60" ht="12.75" customHeight="1" s="162">
      <c r="A60" s="46" t="n"/>
      <c r="B60" s="47" t="n"/>
      <c r="C60" s="48" t="n"/>
      <c r="D60" s="48" t="n"/>
      <c r="E60" s="51" t="n"/>
      <c r="F60" s="51" t="n"/>
      <c r="G60" s="46" t="n"/>
      <c r="H60" s="46" t="n"/>
      <c r="I60" s="46" t="n"/>
      <c r="J60" s="46" t="n"/>
      <c r="K60" s="46" t="n"/>
      <c r="L60" s="46" t="n"/>
      <c r="M60" s="46" t="n"/>
      <c r="N60" s="46" t="n"/>
      <c r="O60" s="46" t="n"/>
      <c r="P60" s="46" t="n"/>
      <c r="Q60" s="46" t="n"/>
      <c r="R60" s="46" t="n"/>
      <c r="S60" s="46" t="n"/>
      <c r="T60" s="46" t="n"/>
      <c r="U60" s="46" t="n"/>
      <c r="V60" s="46" t="n"/>
      <c r="W60" s="46" t="n"/>
      <c r="X60" s="46" t="n"/>
      <c r="Y60" s="46" t="n"/>
      <c r="Z60" s="46" t="n"/>
    </row>
    <row r="61" ht="12.75" customHeight="1" s="162">
      <c r="A61" s="46" t="n"/>
      <c r="B61" s="47" t="n"/>
      <c r="C61" s="48" t="n"/>
      <c r="D61" s="48" t="n"/>
      <c r="E61" s="51" t="n"/>
      <c r="F61" s="51"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row>
    <row r="62" ht="12.75" customHeight="1" s="162">
      <c r="A62" s="46" t="n"/>
      <c r="B62" s="47" t="n"/>
      <c r="C62" s="48" t="n"/>
      <c r="D62" s="48" t="n"/>
      <c r="E62" s="51" t="n"/>
      <c r="F62" s="51" t="n"/>
      <c r="G62" s="46" t="n"/>
      <c r="H62" s="46" t="n"/>
      <c r="I62" s="46" t="n"/>
      <c r="J62" s="46" t="n"/>
      <c r="K62" s="46" t="n"/>
      <c r="L62" s="46" t="n"/>
      <c r="M62" s="46" t="n"/>
      <c r="N62" s="46" t="n"/>
      <c r="O62" s="46" t="n"/>
      <c r="P62" s="46" t="n"/>
      <c r="Q62" s="46" t="n"/>
      <c r="R62" s="46" t="n"/>
      <c r="S62" s="46" t="n"/>
      <c r="T62" s="46" t="n"/>
      <c r="U62" s="46" t="n"/>
      <c r="V62" s="46" t="n"/>
      <c r="W62" s="46" t="n"/>
      <c r="X62" s="46" t="n"/>
      <c r="Y62" s="46" t="n"/>
      <c r="Z62" s="46" t="n"/>
    </row>
    <row r="63" ht="12.75" customHeight="1" s="162">
      <c r="A63" s="46" t="n"/>
      <c r="B63" s="47" t="n"/>
      <c r="C63" s="48" t="n"/>
      <c r="D63" s="48" t="n"/>
      <c r="E63" s="51" t="n"/>
      <c r="F63" s="51"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row>
    <row r="64" ht="12.75" customHeight="1" s="162">
      <c r="A64" s="46" t="n"/>
      <c r="B64" s="47" t="n"/>
      <c r="C64" s="48" t="n"/>
      <c r="D64" s="48" t="n"/>
      <c r="E64" s="51" t="n"/>
      <c r="F64" s="51" t="n"/>
      <c r="G64" s="46" t="n"/>
      <c r="H64" s="46" t="n"/>
      <c r="I64" s="46" t="n"/>
      <c r="J64" s="46" t="n"/>
      <c r="K64" s="46" t="n"/>
      <c r="L64" s="46" t="n"/>
      <c r="M64" s="46" t="n"/>
      <c r="N64" s="46" t="n"/>
      <c r="O64" s="46" t="n"/>
      <c r="P64" s="46" t="n"/>
      <c r="Q64" s="46" t="n"/>
      <c r="R64" s="46" t="n"/>
      <c r="S64" s="46" t="n"/>
      <c r="T64" s="46" t="n"/>
      <c r="U64" s="46" t="n"/>
      <c r="V64" s="46" t="n"/>
      <c r="W64" s="46" t="n"/>
      <c r="X64" s="46" t="n"/>
      <c r="Y64" s="46" t="n"/>
      <c r="Z64" s="46" t="n"/>
    </row>
    <row r="65" ht="12.75" customHeight="1" s="162">
      <c r="A65" s="46" t="n"/>
      <c r="B65" s="47" t="n"/>
      <c r="C65" s="48" t="n"/>
      <c r="D65" s="48" t="n"/>
      <c r="E65" s="51" t="n"/>
      <c r="F65" s="51" t="n"/>
      <c r="G65" s="46" t="n"/>
      <c r="H65" s="46" t="n"/>
      <c r="I65" s="46" t="n"/>
      <c r="J65" s="46" t="n"/>
      <c r="K65" s="46" t="n"/>
      <c r="L65" s="46" t="n"/>
      <c r="M65" s="46" t="n"/>
      <c r="N65" s="46" t="n"/>
      <c r="O65" s="46" t="n"/>
      <c r="P65" s="46" t="n"/>
      <c r="Q65" s="46" t="n"/>
      <c r="R65" s="46" t="n"/>
      <c r="S65" s="46" t="n"/>
      <c r="T65" s="46" t="n"/>
      <c r="U65" s="46" t="n"/>
      <c r="V65" s="46" t="n"/>
      <c r="W65" s="46" t="n"/>
      <c r="X65" s="46" t="n"/>
      <c r="Y65" s="46" t="n"/>
      <c r="Z65" s="46" t="n"/>
    </row>
    <row r="66" ht="12.75" customHeight="1" s="162">
      <c r="A66" s="46" t="n"/>
      <c r="B66" s="47" t="n"/>
      <c r="C66" s="48" t="n"/>
      <c r="D66" s="48" t="n"/>
      <c r="E66" s="51" t="n"/>
      <c r="F66" s="51" t="n"/>
      <c r="G66" s="46" t="n"/>
      <c r="H66" s="46" t="n"/>
      <c r="I66" s="46" t="n"/>
      <c r="J66" s="46" t="n"/>
      <c r="K66" s="46" t="n"/>
      <c r="L66" s="46" t="n"/>
      <c r="M66" s="46" t="n"/>
      <c r="N66" s="46" t="n"/>
      <c r="O66" s="46" t="n"/>
      <c r="P66" s="46" t="n"/>
      <c r="Q66" s="46" t="n"/>
      <c r="R66" s="46" t="n"/>
      <c r="S66" s="46" t="n"/>
      <c r="T66" s="46" t="n"/>
      <c r="U66" s="46" t="n"/>
      <c r="V66" s="46" t="n"/>
      <c r="W66" s="46" t="n"/>
      <c r="X66" s="46" t="n"/>
      <c r="Y66" s="46" t="n"/>
      <c r="Z66" s="46" t="n"/>
    </row>
    <row r="67" ht="12.75" customHeight="1" s="162">
      <c r="A67" s="46" t="n"/>
      <c r="B67" s="47" t="n"/>
      <c r="C67" s="48" t="n"/>
      <c r="D67" s="48" t="n"/>
      <c r="E67" s="51" t="n"/>
      <c r="F67" s="51"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row>
    <row r="68" ht="12.75" customHeight="1" s="162">
      <c r="A68" s="46" t="n"/>
      <c r="B68" s="47" t="n"/>
      <c r="C68" s="48" t="n"/>
      <c r="D68" s="48" t="n"/>
      <c r="E68" s="51" t="n"/>
      <c r="F68" s="51" t="n"/>
      <c r="G68" s="46" t="n"/>
      <c r="H68" s="46" t="n"/>
      <c r="I68" s="46" t="n"/>
      <c r="J68" s="46" t="n"/>
      <c r="K68" s="46" t="n"/>
      <c r="L68" s="46" t="n"/>
      <c r="M68" s="46" t="n"/>
      <c r="N68" s="46" t="n"/>
      <c r="O68" s="46" t="n"/>
      <c r="P68" s="46" t="n"/>
      <c r="Q68" s="46" t="n"/>
      <c r="R68" s="46" t="n"/>
      <c r="S68" s="46" t="n"/>
      <c r="T68" s="46" t="n"/>
      <c r="U68" s="46" t="n"/>
      <c r="V68" s="46" t="n"/>
      <c r="W68" s="46" t="n"/>
      <c r="X68" s="46" t="n"/>
      <c r="Y68" s="46" t="n"/>
      <c r="Z68" s="46" t="n"/>
    </row>
    <row r="69" ht="12.75" customHeight="1" s="162">
      <c r="A69" s="46" t="n"/>
      <c r="B69" s="47" t="n"/>
      <c r="C69" s="48" t="n"/>
      <c r="D69" s="48" t="n"/>
      <c r="E69" s="51" t="n"/>
      <c r="F69" s="51"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row>
    <row r="70" ht="12.75" customHeight="1" s="162">
      <c r="A70" s="46" t="n"/>
      <c r="B70" s="47" t="n"/>
      <c r="C70" s="48" t="n"/>
      <c r="D70" s="48" t="n"/>
      <c r="E70" s="51" t="n"/>
      <c r="F70" s="51" t="n"/>
      <c r="G70" s="46" t="n"/>
      <c r="H70" s="46" t="n"/>
      <c r="I70" s="46" t="n"/>
      <c r="J70" s="46" t="n"/>
      <c r="K70" s="46" t="n"/>
      <c r="L70" s="46" t="n"/>
      <c r="M70" s="46" t="n"/>
      <c r="N70" s="46" t="n"/>
      <c r="O70" s="46" t="n"/>
      <c r="P70" s="46" t="n"/>
      <c r="Q70" s="46" t="n"/>
      <c r="R70" s="46" t="n"/>
      <c r="S70" s="46" t="n"/>
      <c r="T70" s="46" t="n"/>
      <c r="U70" s="46" t="n"/>
      <c r="V70" s="46" t="n"/>
      <c r="W70" s="46" t="n"/>
      <c r="X70" s="46" t="n"/>
      <c r="Y70" s="46" t="n"/>
      <c r="Z70" s="46" t="n"/>
    </row>
    <row r="71" ht="12.75" customHeight="1" s="162">
      <c r="A71" s="46" t="n"/>
      <c r="B71" s="47" t="n"/>
      <c r="C71" s="48" t="n"/>
      <c r="D71" s="48" t="n"/>
      <c r="E71" s="51" t="n"/>
      <c r="F71" s="51"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row>
    <row r="72" ht="12.75" customHeight="1" s="162">
      <c r="A72" s="46" t="n"/>
      <c r="B72" s="47" t="n"/>
      <c r="C72" s="48" t="n"/>
      <c r="D72" s="48" t="n"/>
      <c r="E72" s="51" t="n"/>
      <c r="F72" s="51" t="n"/>
      <c r="G72" s="46" t="n"/>
      <c r="H72" s="46" t="n"/>
      <c r="I72" s="46" t="n"/>
      <c r="J72" s="46" t="n"/>
      <c r="K72" s="46" t="n"/>
      <c r="L72" s="46" t="n"/>
      <c r="M72" s="46" t="n"/>
      <c r="N72" s="46" t="n"/>
      <c r="O72" s="46" t="n"/>
      <c r="P72" s="46" t="n"/>
      <c r="Q72" s="46" t="n"/>
      <c r="R72" s="46" t="n"/>
      <c r="S72" s="46" t="n"/>
      <c r="T72" s="46" t="n"/>
      <c r="U72" s="46" t="n"/>
      <c r="V72" s="46" t="n"/>
      <c r="W72" s="46" t="n"/>
      <c r="X72" s="46" t="n"/>
      <c r="Y72" s="46" t="n"/>
      <c r="Z72" s="46" t="n"/>
    </row>
    <row r="73" ht="12.75" customHeight="1" s="162">
      <c r="A73" s="46" t="n"/>
      <c r="B73" s="47" t="n"/>
      <c r="C73" s="48" t="n"/>
      <c r="D73" s="48" t="n"/>
      <c r="E73" s="51" t="n"/>
      <c r="F73" s="51" t="n"/>
      <c r="G73" s="46" t="n"/>
      <c r="H73" s="46" t="n"/>
      <c r="I73" s="46" t="n"/>
      <c r="J73" s="46" t="n"/>
      <c r="K73" s="46" t="n"/>
      <c r="L73" s="46" t="n"/>
      <c r="M73" s="46" t="n"/>
      <c r="N73" s="46" t="n"/>
      <c r="O73" s="46" t="n"/>
      <c r="P73" s="46" t="n"/>
      <c r="Q73" s="46" t="n"/>
      <c r="R73" s="46" t="n"/>
      <c r="S73" s="46" t="n"/>
      <c r="T73" s="46" t="n"/>
      <c r="U73" s="46" t="n"/>
      <c r="V73" s="46" t="n"/>
      <c r="W73" s="46" t="n"/>
      <c r="X73" s="46" t="n"/>
      <c r="Y73" s="46" t="n"/>
      <c r="Z73" s="46" t="n"/>
    </row>
    <row r="74" ht="12.75" customHeight="1" s="162">
      <c r="A74" s="46" t="n"/>
      <c r="B74" s="47" t="n"/>
      <c r="C74" s="48" t="n"/>
      <c r="D74" s="48" t="n"/>
      <c r="E74" s="51" t="n"/>
      <c r="F74" s="51" t="n"/>
      <c r="G74" s="46" t="n"/>
      <c r="H74" s="46" t="n"/>
      <c r="I74" s="46" t="n"/>
      <c r="J74" s="46" t="n"/>
      <c r="K74" s="46" t="n"/>
      <c r="L74" s="46" t="n"/>
      <c r="M74" s="46" t="n"/>
      <c r="N74" s="46" t="n"/>
      <c r="O74" s="46" t="n"/>
      <c r="P74" s="46" t="n"/>
      <c r="Q74" s="46" t="n"/>
      <c r="R74" s="46" t="n"/>
      <c r="S74" s="46" t="n"/>
      <c r="T74" s="46" t="n"/>
      <c r="U74" s="46" t="n"/>
      <c r="V74" s="46" t="n"/>
      <c r="W74" s="46" t="n"/>
      <c r="X74" s="46" t="n"/>
      <c r="Y74" s="46" t="n"/>
      <c r="Z74" s="46" t="n"/>
    </row>
    <row r="75" ht="12.75" customHeight="1" s="162">
      <c r="A75" s="46" t="n"/>
      <c r="B75" s="47" t="n"/>
      <c r="C75" s="48" t="n"/>
      <c r="D75" s="48" t="n"/>
      <c r="E75" s="51" t="n"/>
      <c r="F75" s="51"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row>
    <row r="76" ht="12.75" customHeight="1" s="162">
      <c r="A76" s="46" t="n"/>
      <c r="B76" s="47" t="n"/>
      <c r="C76" s="48" t="n"/>
      <c r="D76" s="48" t="n"/>
      <c r="E76" s="51" t="n"/>
      <c r="F76" s="51" t="n"/>
      <c r="G76" s="46" t="n"/>
      <c r="H76" s="46" t="n"/>
      <c r="I76" s="46" t="n"/>
      <c r="J76" s="46" t="n"/>
      <c r="K76" s="46" t="n"/>
      <c r="L76" s="46" t="n"/>
      <c r="M76" s="46" t="n"/>
      <c r="N76" s="46" t="n"/>
      <c r="O76" s="46" t="n"/>
      <c r="P76" s="46" t="n"/>
      <c r="Q76" s="46" t="n"/>
      <c r="R76" s="46" t="n"/>
      <c r="S76" s="46" t="n"/>
      <c r="T76" s="46" t="n"/>
      <c r="U76" s="46" t="n"/>
      <c r="V76" s="46" t="n"/>
      <c r="W76" s="46" t="n"/>
      <c r="X76" s="46" t="n"/>
      <c r="Y76" s="46" t="n"/>
      <c r="Z76" s="46" t="n"/>
    </row>
    <row r="77" ht="12.75" customHeight="1" s="162">
      <c r="A77" s="46" t="n"/>
      <c r="B77" s="47" t="n"/>
      <c r="C77" s="48" t="n"/>
      <c r="D77" s="48" t="n"/>
      <c r="E77" s="51" t="n"/>
      <c r="F77" s="51"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row>
    <row r="78" ht="12.75" customHeight="1" s="162">
      <c r="A78" s="46" t="n"/>
      <c r="B78" s="47" t="n"/>
      <c r="C78" s="48" t="n"/>
      <c r="D78" s="48" t="n"/>
      <c r="E78" s="51" t="n"/>
      <c r="F78" s="51" t="n"/>
      <c r="G78" s="46" t="n"/>
      <c r="H78" s="46" t="n"/>
      <c r="I78" s="46" t="n"/>
      <c r="J78" s="46" t="n"/>
      <c r="K78" s="46" t="n"/>
      <c r="L78" s="46" t="n"/>
      <c r="M78" s="46" t="n"/>
      <c r="N78" s="46" t="n"/>
      <c r="O78" s="46" t="n"/>
      <c r="P78" s="46" t="n"/>
      <c r="Q78" s="46" t="n"/>
      <c r="R78" s="46" t="n"/>
      <c r="S78" s="46" t="n"/>
      <c r="T78" s="46" t="n"/>
      <c r="U78" s="46" t="n"/>
      <c r="V78" s="46" t="n"/>
      <c r="W78" s="46" t="n"/>
      <c r="X78" s="46" t="n"/>
      <c r="Y78" s="46" t="n"/>
      <c r="Z78" s="46" t="n"/>
    </row>
    <row r="79" ht="12.75" customHeight="1" s="162">
      <c r="A79" s="46" t="n"/>
      <c r="B79" s="47" t="n"/>
      <c r="C79" s="48" t="n"/>
      <c r="D79" s="48" t="n"/>
      <c r="E79" s="51" t="n"/>
      <c r="F79" s="51"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row>
    <row r="80" ht="12.75" customHeight="1" s="162">
      <c r="A80" s="46" t="n"/>
      <c r="B80" s="47" t="n"/>
      <c r="C80" s="48" t="n"/>
      <c r="D80" s="48" t="n"/>
      <c r="E80" s="51" t="n"/>
      <c r="F80" s="51" t="n"/>
      <c r="G80" s="46" t="n"/>
      <c r="H80" s="46" t="n"/>
      <c r="I80" s="46" t="n"/>
      <c r="J80" s="46" t="n"/>
      <c r="K80" s="46" t="n"/>
      <c r="L80" s="46" t="n"/>
      <c r="M80" s="46" t="n"/>
      <c r="N80" s="46" t="n"/>
      <c r="O80" s="46" t="n"/>
      <c r="P80" s="46" t="n"/>
      <c r="Q80" s="46" t="n"/>
      <c r="R80" s="46" t="n"/>
      <c r="S80" s="46" t="n"/>
      <c r="T80" s="46" t="n"/>
      <c r="U80" s="46" t="n"/>
      <c r="V80" s="46" t="n"/>
      <c r="W80" s="46" t="n"/>
      <c r="X80" s="46" t="n"/>
      <c r="Y80" s="46" t="n"/>
      <c r="Z80" s="46" t="n"/>
    </row>
    <row r="81" ht="12.75" customHeight="1" s="162">
      <c r="A81" s="46" t="n"/>
      <c r="B81" s="47" t="n"/>
      <c r="C81" s="48" t="n"/>
      <c r="D81" s="48" t="n"/>
      <c r="E81" s="51" t="n"/>
      <c r="F81" s="51"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row>
    <row r="82" ht="12.75" customHeight="1" s="162">
      <c r="A82" s="46" t="n"/>
      <c r="B82" s="47" t="n"/>
      <c r="C82" s="48" t="n"/>
      <c r="D82" s="48" t="n"/>
      <c r="E82" s="51" t="n"/>
      <c r="F82" s="51" t="n"/>
      <c r="G82" s="46" t="n"/>
      <c r="H82" s="46" t="n"/>
      <c r="I82" s="46" t="n"/>
      <c r="J82" s="46" t="n"/>
      <c r="K82" s="46" t="n"/>
      <c r="L82" s="46" t="n"/>
      <c r="M82" s="46" t="n"/>
      <c r="N82" s="46" t="n"/>
      <c r="O82" s="46" t="n"/>
      <c r="P82" s="46" t="n"/>
      <c r="Q82" s="46" t="n"/>
      <c r="R82" s="46" t="n"/>
      <c r="S82" s="46" t="n"/>
      <c r="T82" s="46" t="n"/>
      <c r="U82" s="46" t="n"/>
      <c r="V82" s="46" t="n"/>
      <c r="W82" s="46" t="n"/>
      <c r="X82" s="46" t="n"/>
      <c r="Y82" s="46" t="n"/>
      <c r="Z82" s="46" t="n"/>
    </row>
    <row r="83" ht="12.75" customHeight="1" s="162">
      <c r="A83" s="46" t="n"/>
      <c r="B83" s="47" t="n"/>
      <c r="C83" s="48" t="n"/>
      <c r="D83" s="48" t="n"/>
      <c r="E83" s="51" t="n"/>
      <c r="F83" s="51"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row>
    <row r="84" ht="12.75" customHeight="1" s="162">
      <c r="A84" s="46" t="n"/>
      <c r="B84" s="47" t="n"/>
      <c r="C84" s="48" t="n"/>
      <c r="D84" s="48" t="n"/>
      <c r="E84" s="51" t="n"/>
      <c r="F84" s="51" t="n"/>
      <c r="G84" s="46" t="n"/>
      <c r="H84" s="46" t="n"/>
      <c r="I84" s="46" t="n"/>
      <c r="J84" s="46" t="n"/>
      <c r="K84" s="46" t="n"/>
      <c r="L84" s="46" t="n"/>
      <c r="M84" s="46" t="n"/>
      <c r="N84" s="46" t="n"/>
      <c r="O84" s="46" t="n"/>
      <c r="P84" s="46" t="n"/>
      <c r="Q84" s="46" t="n"/>
      <c r="R84" s="46" t="n"/>
      <c r="S84" s="46" t="n"/>
      <c r="T84" s="46" t="n"/>
      <c r="U84" s="46" t="n"/>
      <c r="V84" s="46" t="n"/>
      <c r="W84" s="46" t="n"/>
      <c r="X84" s="46" t="n"/>
      <c r="Y84" s="46" t="n"/>
      <c r="Z84" s="46" t="n"/>
    </row>
    <row r="85" ht="12.75" customHeight="1" s="162">
      <c r="A85" s="46" t="n"/>
      <c r="B85" s="47" t="n"/>
      <c r="C85" s="48" t="n"/>
      <c r="D85" s="48" t="n"/>
      <c r="E85" s="51" t="n"/>
      <c r="F85" s="51" t="n"/>
      <c r="G85" s="46" t="n"/>
      <c r="H85" s="46" t="n"/>
      <c r="I85" s="46" t="n"/>
      <c r="J85" s="46" t="n"/>
      <c r="K85" s="46" t="n"/>
      <c r="L85" s="46" t="n"/>
      <c r="M85" s="46" t="n"/>
      <c r="N85" s="46" t="n"/>
      <c r="O85" s="46" t="n"/>
      <c r="P85" s="46" t="n"/>
      <c r="Q85" s="46" t="n"/>
      <c r="R85" s="46" t="n"/>
      <c r="S85" s="46" t="n"/>
      <c r="T85" s="46" t="n"/>
      <c r="U85" s="46" t="n"/>
      <c r="V85" s="46" t="n"/>
      <c r="W85" s="46" t="n"/>
      <c r="X85" s="46" t="n"/>
      <c r="Y85" s="46" t="n"/>
      <c r="Z85" s="46" t="n"/>
    </row>
    <row r="86" ht="12.75" customHeight="1" s="162">
      <c r="A86" s="46" t="n"/>
      <c r="B86" s="47" t="n"/>
      <c r="C86" s="48" t="n"/>
      <c r="D86" s="48" t="n"/>
      <c r="E86" s="51" t="n"/>
      <c r="F86" s="51" t="n"/>
      <c r="G86" s="46" t="n"/>
      <c r="H86" s="46" t="n"/>
      <c r="I86" s="46" t="n"/>
      <c r="J86" s="46" t="n"/>
      <c r="K86" s="46" t="n"/>
      <c r="L86" s="46" t="n"/>
      <c r="M86" s="46" t="n"/>
      <c r="N86" s="46" t="n"/>
      <c r="O86" s="46" t="n"/>
      <c r="P86" s="46" t="n"/>
      <c r="Q86" s="46" t="n"/>
      <c r="R86" s="46" t="n"/>
      <c r="S86" s="46" t="n"/>
      <c r="T86" s="46" t="n"/>
      <c r="U86" s="46" t="n"/>
      <c r="V86" s="46" t="n"/>
      <c r="W86" s="46" t="n"/>
      <c r="X86" s="46" t="n"/>
      <c r="Y86" s="46" t="n"/>
      <c r="Z86" s="46" t="n"/>
    </row>
    <row r="87" ht="12.75" customHeight="1" s="162">
      <c r="A87" s="46" t="n"/>
      <c r="B87" s="47" t="n"/>
      <c r="C87" s="48" t="n"/>
      <c r="D87" s="48" t="n"/>
      <c r="E87" s="51" t="n"/>
      <c r="F87" s="51" t="n"/>
      <c r="G87" s="46" t="n"/>
      <c r="H87" s="46" t="n"/>
      <c r="I87" s="46" t="n"/>
      <c r="J87" s="46" t="n"/>
      <c r="K87" s="46" t="n"/>
      <c r="L87" s="46" t="n"/>
      <c r="M87" s="46" t="n"/>
      <c r="N87" s="46" t="n"/>
      <c r="O87" s="46" t="n"/>
      <c r="P87" s="46" t="n"/>
      <c r="Q87" s="46" t="n"/>
      <c r="R87" s="46" t="n"/>
      <c r="S87" s="46" t="n"/>
      <c r="T87" s="46" t="n"/>
      <c r="U87" s="46" t="n"/>
      <c r="V87" s="46" t="n"/>
      <c r="W87" s="46" t="n"/>
      <c r="X87" s="46" t="n"/>
      <c r="Y87" s="46" t="n"/>
      <c r="Z87" s="46" t="n"/>
    </row>
    <row r="88" ht="12.75" customHeight="1" s="162">
      <c r="A88" s="46" t="n"/>
      <c r="B88" s="47" t="n"/>
      <c r="C88" s="48" t="n"/>
      <c r="D88" s="48" t="n"/>
      <c r="E88" s="51" t="n"/>
      <c r="F88" s="51" t="n"/>
      <c r="G88" s="46" t="n"/>
      <c r="H88" s="46" t="n"/>
      <c r="I88" s="46" t="n"/>
      <c r="J88" s="46" t="n"/>
      <c r="K88" s="46" t="n"/>
      <c r="L88" s="46" t="n"/>
      <c r="M88" s="46" t="n"/>
      <c r="N88" s="46" t="n"/>
      <c r="O88" s="46" t="n"/>
      <c r="P88" s="46" t="n"/>
      <c r="Q88" s="46" t="n"/>
      <c r="R88" s="46" t="n"/>
      <c r="S88" s="46" t="n"/>
      <c r="T88" s="46" t="n"/>
      <c r="U88" s="46" t="n"/>
      <c r="V88" s="46" t="n"/>
      <c r="W88" s="46" t="n"/>
      <c r="X88" s="46" t="n"/>
      <c r="Y88" s="46" t="n"/>
      <c r="Z88" s="46" t="n"/>
    </row>
    <row r="89" ht="12.75" customHeight="1" s="162">
      <c r="A89" s="46" t="n"/>
      <c r="B89" s="47" t="n"/>
      <c r="C89" s="48" t="n"/>
      <c r="D89" s="48" t="n"/>
      <c r="E89" s="51" t="n"/>
      <c r="F89" s="51" t="n"/>
      <c r="G89" s="46" t="n"/>
      <c r="H89" s="46" t="n"/>
      <c r="I89" s="46" t="n"/>
      <c r="J89" s="46" t="n"/>
      <c r="K89" s="46" t="n"/>
      <c r="L89" s="46" t="n"/>
      <c r="M89" s="46" t="n"/>
      <c r="N89" s="46" t="n"/>
      <c r="O89" s="46" t="n"/>
      <c r="P89" s="46" t="n"/>
      <c r="Q89" s="46" t="n"/>
      <c r="R89" s="46" t="n"/>
      <c r="S89" s="46" t="n"/>
      <c r="T89" s="46" t="n"/>
      <c r="U89" s="46" t="n"/>
      <c r="V89" s="46" t="n"/>
      <c r="W89" s="46" t="n"/>
      <c r="X89" s="46" t="n"/>
      <c r="Y89" s="46" t="n"/>
      <c r="Z89" s="46" t="n"/>
    </row>
    <row r="90" ht="12.75" customHeight="1" s="162">
      <c r="A90" s="46" t="n"/>
      <c r="B90" s="47" t="n"/>
      <c r="C90" s="48" t="n"/>
      <c r="D90" s="48" t="n"/>
      <c r="E90" s="51" t="n"/>
      <c r="F90" s="51" t="n"/>
      <c r="G90" s="46" t="n"/>
      <c r="H90" s="46" t="n"/>
      <c r="I90" s="46" t="n"/>
      <c r="J90" s="46" t="n"/>
      <c r="K90" s="46" t="n"/>
      <c r="L90" s="46" t="n"/>
      <c r="M90" s="46" t="n"/>
      <c r="N90" s="46" t="n"/>
      <c r="O90" s="46" t="n"/>
      <c r="P90" s="46" t="n"/>
      <c r="Q90" s="46" t="n"/>
      <c r="R90" s="46" t="n"/>
      <c r="S90" s="46" t="n"/>
      <c r="T90" s="46" t="n"/>
      <c r="U90" s="46" t="n"/>
      <c r="V90" s="46" t="n"/>
      <c r="W90" s="46" t="n"/>
      <c r="X90" s="46" t="n"/>
      <c r="Y90" s="46" t="n"/>
      <c r="Z90" s="46" t="n"/>
    </row>
    <row r="91" ht="12.75" customHeight="1" s="162">
      <c r="A91" s="46" t="n"/>
      <c r="B91" s="47" t="n"/>
      <c r="C91" s="48" t="n"/>
      <c r="D91" s="48" t="n"/>
      <c r="E91" s="51" t="n"/>
      <c r="F91" s="51" t="n"/>
      <c r="G91" s="46" t="n"/>
      <c r="H91" s="46" t="n"/>
      <c r="I91" s="46" t="n"/>
      <c r="J91" s="46" t="n"/>
      <c r="K91" s="46" t="n"/>
      <c r="L91" s="46" t="n"/>
      <c r="M91" s="46" t="n"/>
      <c r="N91" s="46" t="n"/>
      <c r="O91" s="46" t="n"/>
      <c r="P91" s="46" t="n"/>
      <c r="Q91" s="46" t="n"/>
      <c r="R91" s="46" t="n"/>
      <c r="S91" s="46" t="n"/>
      <c r="T91" s="46" t="n"/>
      <c r="U91" s="46" t="n"/>
      <c r="V91" s="46" t="n"/>
      <c r="W91" s="46" t="n"/>
      <c r="X91" s="46" t="n"/>
      <c r="Y91" s="46" t="n"/>
      <c r="Z91" s="46" t="n"/>
    </row>
    <row r="92" ht="12.75" customHeight="1" s="162">
      <c r="A92" s="46" t="n"/>
      <c r="B92" s="47" t="n"/>
      <c r="C92" s="48" t="n"/>
      <c r="D92" s="48" t="n"/>
      <c r="E92" s="51" t="n"/>
      <c r="F92" s="51" t="n"/>
      <c r="G92" s="46" t="n"/>
      <c r="H92" s="46" t="n"/>
      <c r="I92" s="46" t="n"/>
      <c r="J92" s="46" t="n"/>
      <c r="K92" s="46" t="n"/>
      <c r="L92" s="46" t="n"/>
      <c r="M92" s="46" t="n"/>
      <c r="N92" s="46" t="n"/>
      <c r="O92" s="46" t="n"/>
      <c r="P92" s="46" t="n"/>
      <c r="Q92" s="46" t="n"/>
      <c r="R92" s="46" t="n"/>
      <c r="S92" s="46" t="n"/>
      <c r="T92" s="46" t="n"/>
      <c r="U92" s="46" t="n"/>
      <c r="V92" s="46" t="n"/>
      <c r="W92" s="46" t="n"/>
      <c r="X92" s="46" t="n"/>
      <c r="Y92" s="46" t="n"/>
      <c r="Z92" s="46" t="n"/>
    </row>
    <row r="93" ht="12.75" customHeight="1" s="162">
      <c r="A93" s="46" t="n"/>
      <c r="B93" s="47" t="n"/>
      <c r="C93" s="48" t="n"/>
      <c r="D93" s="48" t="n"/>
      <c r="E93" s="51" t="n"/>
      <c r="F93" s="51" t="n"/>
      <c r="G93" s="46" t="n"/>
      <c r="H93" s="46" t="n"/>
      <c r="I93" s="46" t="n"/>
      <c r="J93" s="46" t="n"/>
      <c r="K93" s="46" t="n"/>
      <c r="L93" s="46" t="n"/>
      <c r="M93" s="46" t="n"/>
      <c r="N93" s="46" t="n"/>
      <c r="O93" s="46" t="n"/>
      <c r="P93" s="46" t="n"/>
      <c r="Q93" s="46" t="n"/>
      <c r="R93" s="46" t="n"/>
      <c r="S93" s="46" t="n"/>
      <c r="T93" s="46" t="n"/>
      <c r="U93" s="46" t="n"/>
      <c r="V93" s="46" t="n"/>
      <c r="W93" s="46" t="n"/>
      <c r="X93" s="46" t="n"/>
      <c r="Y93" s="46" t="n"/>
      <c r="Z93" s="46" t="n"/>
    </row>
    <row r="94" ht="12.75" customHeight="1" s="162">
      <c r="A94" s="46" t="n"/>
      <c r="B94" s="47" t="n"/>
      <c r="C94" s="48" t="n"/>
      <c r="D94" s="48" t="n"/>
      <c r="E94" s="51" t="n"/>
      <c r="F94" s="51" t="n"/>
      <c r="G94" s="46" t="n"/>
      <c r="H94" s="46" t="n"/>
      <c r="I94" s="46" t="n"/>
      <c r="J94" s="46" t="n"/>
      <c r="K94" s="46" t="n"/>
      <c r="L94" s="46" t="n"/>
      <c r="M94" s="46" t="n"/>
      <c r="N94" s="46" t="n"/>
      <c r="O94" s="46" t="n"/>
      <c r="P94" s="46" t="n"/>
      <c r="Q94" s="46" t="n"/>
      <c r="R94" s="46" t="n"/>
      <c r="S94" s="46" t="n"/>
      <c r="T94" s="46" t="n"/>
      <c r="U94" s="46" t="n"/>
      <c r="V94" s="46" t="n"/>
      <c r="W94" s="46" t="n"/>
      <c r="X94" s="46" t="n"/>
      <c r="Y94" s="46" t="n"/>
      <c r="Z94" s="46" t="n"/>
    </row>
    <row r="95" ht="12.75" customHeight="1" s="162">
      <c r="A95" s="46" t="n"/>
      <c r="B95" s="47" t="n"/>
      <c r="C95" s="48" t="n"/>
      <c r="D95" s="48" t="n"/>
      <c r="E95" s="51" t="n"/>
      <c r="F95" s="51" t="n"/>
      <c r="G95" s="46" t="n"/>
      <c r="H95" s="46" t="n"/>
      <c r="I95" s="46" t="n"/>
      <c r="J95" s="46" t="n"/>
      <c r="K95" s="46" t="n"/>
      <c r="L95" s="46" t="n"/>
      <c r="M95" s="46" t="n"/>
      <c r="N95" s="46" t="n"/>
      <c r="O95" s="46" t="n"/>
      <c r="P95" s="46" t="n"/>
      <c r="Q95" s="46" t="n"/>
      <c r="R95" s="46" t="n"/>
      <c r="S95" s="46" t="n"/>
      <c r="T95" s="46" t="n"/>
      <c r="U95" s="46" t="n"/>
      <c r="V95" s="46" t="n"/>
      <c r="W95" s="46" t="n"/>
      <c r="X95" s="46" t="n"/>
      <c r="Y95" s="46" t="n"/>
      <c r="Z95" s="46" t="n"/>
    </row>
    <row r="96" ht="12.75" customHeight="1" s="162">
      <c r="A96" s="46" t="n"/>
      <c r="B96" s="47" t="n"/>
      <c r="C96" s="48" t="n"/>
      <c r="D96" s="48" t="n"/>
      <c r="E96" s="51" t="n"/>
      <c r="F96" s="51" t="n"/>
      <c r="G96" s="46" t="n"/>
      <c r="H96" s="46" t="n"/>
      <c r="I96" s="46" t="n"/>
      <c r="J96" s="46" t="n"/>
      <c r="K96" s="46" t="n"/>
      <c r="L96" s="46" t="n"/>
      <c r="M96" s="46" t="n"/>
      <c r="N96" s="46" t="n"/>
      <c r="O96" s="46" t="n"/>
      <c r="P96" s="46" t="n"/>
      <c r="Q96" s="46" t="n"/>
      <c r="R96" s="46" t="n"/>
      <c r="S96" s="46" t="n"/>
      <c r="T96" s="46" t="n"/>
      <c r="U96" s="46" t="n"/>
      <c r="V96" s="46" t="n"/>
      <c r="W96" s="46" t="n"/>
      <c r="X96" s="46" t="n"/>
      <c r="Y96" s="46" t="n"/>
      <c r="Z96" s="46" t="n"/>
    </row>
    <row r="97" ht="12.75" customHeight="1" s="162">
      <c r="A97" s="46" t="n"/>
      <c r="B97" s="47" t="n"/>
      <c r="C97" s="48" t="n"/>
      <c r="D97" s="48" t="n"/>
      <c r="E97" s="51" t="n"/>
      <c r="F97" s="51" t="n"/>
      <c r="G97" s="46" t="n"/>
      <c r="H97" s="46" t="n"/>
      <c r="I97" s="46" t="n"/>
      <c r="J97" s="46" t="n"/>
      <c r="K97" s="46" t="n"/>
      <c r="L97" s="46" t="n"/>
      <c r="M97" s="46" t="n"/>
      <c r="N97" s="46" t="n"/>
      <c r="O97" s="46" t="n"/>
      <c r="P97" s="46" t="n"/>
      <c r="Q97" s="46" t="n"/>
      <c r="R97" s="46" t="n"/>
      <c r="S97" s="46" t="n"/>
      <c r="T97" s="46" t="n"/>
      <c r="U97" s="46" t="n"/>
      <c r="V97" s="46" t="n"/>
      <c r="W97" s="46" t="n"/>
      <c r="X97" s="46" t="n"/>
      <c r="Y97" s="46" t="n"/>
      <c r="Z97" s="46" t="n"/>
    </row>
    <row r="98" ht="12.75" customHeight="1" s="162">
      <c r="A98" s="46" t="n"/>
      <c r="B98" s="47" t="n"/>
      <c r="C98" s="48" t="n"/>
      <c r="D98" s="48" t="n"/>
      <c r="E98" s="51" t="n"/>
      <c r="F98" s="51" t="n"/>
      <c r="G98" s="46" t="n"/>
      <c r="H98" s="46" t="n"/>
      <c r="I98" s="46" t="n"/>
      <c r="J98" s="46" t="n"/>
      <c r="K98" s="46" t="n"/>
      <c r="L98" s="46" t="n"/>
      <c r="M98" s="46" t="n"/>
      <c r="N98" s="46" t="n"/>
      <c r="O98" s="46" t="n"/>
      <c r="P98" s="46" t="n"/>
      <c r="Q98" s="46" t="n"/>
      <c r="R98" s="46" t="n"/>
      <c r="S98" s="46" t="n"/>
      <c r="T98" s="46" t="n"/>
      <c r="U98" s="46" t="n"/>
      <c r="V98" s="46" t="n"/>
      <c r="W98" s="46" t="n"/>
      <c r="X98" s="46" t="n"/>
      <c r="Y98" s="46" t="n"/>
      <c r="Z98" s="46" t="n"/>
    </row>
    <row r="99" ht="12.75" customHeight="1" s="162">
      <c r="A99" s="46" t="n"/>
      <c r="B99" s="47" t="n"/>
      <c r="C99" s="48" t="n"/>
      <c r="D99" s="48" t="n"/>
      <c r="E99" s="51" t="n"/>
      <c r="F99" s="51" t="n"/>
      <c r="G99" s="46" t="n"/>
      <c r="H99" s="46" t="n"/>
      <c r="I99" s="46" t="n"/>
      <c r="J99" s="46" t="n"/>
      <c r="K99" s="46" t="n"/>
      <c r="L99" s="46" t="n"/>
      <c r="M99" s="46" t="n"/>
      <c r="N99" s="46" t="n"/>
      <c r="O99" s="46" t="n"/>
      <c r="P99" s="46" t="n"/>
      <c r="Q99" s="46" t="n"/>
      <c r="R99" s="46" t="n"/>
      <c r="S99" s="46" t="n"/>
      <c r="T99" s="46" t="n"/>
      <c r="U99" s="46" t="n"/>
      <c r="V99" s="46" t="n"/>
      <c r="W99" s="46" t="n"/>
      <c r="X99" s="46" t="n"/>
      <c r="Y99" s="46" t="n"/>
      <c r="Z99" s="46" t="n"/>
    </row>
    <row r="100" ht="12.75" customHeight="1" s="162">
      <c r="A100" s="46" t="n"/>
      <c r="B100" s="47" t="n"/>
      <c r="C100" s="48" t="n"/>
      <c r="D100" s="48" t="n"/>
      <c r="E100" s="51" t="n"/>
      <c r="F100" s="51"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c r="Z100" s="46" t="n"/>
    </row>
    <row r="101" ht="12.75" customHeight="1" s="162">
      <c r="A101" s="46" t="n"/>
      <c r="B101" s="47" t="n"/>
      <c r="C101" s="48" t="n"/>
      <c r="D101" s="48" t="n"/>
      <c r="E101" s="51" t="n"/>
      <c r="F101" s="51"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c r="Z101" s="46" t="n"/>
    </row>
    <row r="102" ht="12.75" customHeight="1" s="162">
      <c r="A102" s="46" t="n"/>
      <c r="B102" s="47" t="n"/>
      <c r="C102" s="48" t="n"/>
      <c r="D102" s="48" t="n"/>
      <c r="E102" s="51" t="n"/>
      <c r="F102" s="51"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c r="Z102" s="46" t="n"/>
    </row>
    <row r="103" ht="12.75" customHeight="1" s="162">
      <c r="A103" s="46" t="n"/>
      <c r="B103" s="47" t="n"/>
      <c r="C103" s="48" t="n"/>
      <c r="D103" s="48" t="n"/>
      <c r="E103" s="51" t="n"/>
      <c r="F103" s="51"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c r="Z103" s="46" t="n"/>
    </row>
    <row r="104" ht="12.75" customHeight="1" s="162">
      <c r="A104" s="46" t="n"/>
      <c r="B104" s="47" t="n"/>
      <c r="C104" s="48" t="n"/>
      <c r="D104" s="48" t="n"/>
      <c r="E104" s="51" t="n"/>
      <c r="F104" s="51"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c r="Z104" s="46" t="n"/>
    </row>
    <row r="105" ht="12.75" customHeight="1" s="162">
      <c r="A105" s="46" t="n"/>
      <c r="B105" s="47" t="n"/>
      <c r="C105" s="48" t="n"/>
      <c r="D105" s="48" t="n"/>
      <c r="E105" s="51" t="n"/>
      <c r="F105" s="51"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c r="Z105" s="46" t="n"/>
    </row>
    <row r="106" ht="12.75" customHeight="1" s="162">
      <c r="A106" s="46" t="n"/>
      <c r="B106" s="47" t="n"/>
      <c r="C106" s="48" t="n"/>
      <c r="D106" s="48" t="n"/>
      <c r="E106" s="51" t="n"/>
      <c r="F106" s="51"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c r="Z106" s="46" t="n"/>
    </row>
    <row r="107" ht="12.75" customHeight="1" s="162">
      <c r="A107" s="46" t="n"/>
      <c r="B107" s="47" t="n"/>
      <c r="C107" s="48" t="n"/>
      <c r="D107" s="48" t="n"/>
      <c r="E107" s="51" t="n"/>
      <c r="F107" s="51"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c r="Z107" s="46" t="n"/>
    </row>
    <row r="108" ht="12.75" customHeight="1" s="162">
      <c r="A108" s="46" t="n"/>
      <c r="B108" s="47" t="n"/>
      <c r="C108" s="48" t="n"/>
      <c r="D108" s="48" t="n"/>
      <c r="E108" s="51" t="n"/>
      <c r="F108" s="51"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c r="Z108" s="46" t="n"/>
    </row>
    <row r="109" ht="12.75" customHeight="1" s="162">
      <c r="A109" s="46" t="n"/>
      <c r="B109" s="47" t="n"/>
      <c r="C109" s="48" t="n"/>
      <c r="D109" s="48" t="n"/>
      <c r="E109" s="51" t="n"/>
      <c r="F109" s="51"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c r="Z109" s="46" t="n"/>
    </row>
    <row r="110" ht="12.75" customHeight="1" s="162">
      <c r="A110" s="46" t="n"/>
      <c r="B110" s="47" t="n"/>
      <c r="C110" s="48" t="n"/>
      <c r="D110" s="48" t="n"/>
      <c r="E110" s="51" t="n"/>
      <c r="F110" s="51"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c r="Z110" s="46" t="n"/>
    </row>
    <row r="111" ht="12.75" customHeight="1" s="162">
      <c r="A111" s="46" t="n"/>
      <c r="B111" s="47" t="n"/>
      <c r="C111" s="48" t="n"/>
      <c r="D111" s="48" t="n"/>
      <c r="E111" s="51" t="n"/>
      <c r="F111" s="51"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c r="Z111" s="46" t="n"/>
    </row>
    <row r="112" ht="12.75" customHeight="1" s="162">
      <c r="A112" s="46" t="n"/>
      <c r="B112" s="47" t="n"/>
      <c r="C112" s="48" t="n"/>
      <c r="D112" s="48" t="n"/>
      <c r="E112" s="51" t="n"/>
      <c r="F112" s="51"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c r="Z112" s="46" t="n"/>
    </row>
    <row r="113" ht="12.75" customHeight="1" s="162">
      <c r="A113" s="46" t="n"/>
      <c r="B113" s="47" t="n"/>
      <c r="C113" s="48" t="n"/>
      <c r="D113" s="48" t="n"/>
      <c r="E113" s="51" t="n"/>
      <c r="F113" s="51"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c r="Z113" s="46" t="n"/>
    </row>
    <row r="114" ht="12.75" customHeight="1" s="162">
      <c r="A114" s="46" t="n"/>
      <c r="B114" s="47" t="n"/>
      <c r="C114" s="48" t="n"/>
      <c r="D114" s="48" t="n"/>
      <c r="E114" s="51" t="n"/>
      <c r="F114" s="51"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c r="Z114" s="46" t="n"/>
    </row>
    <row r="115" ht="12.75" customHeight="1" s="162">
      <c r="A115" s="46" t="n"/>
      <c r="B115" s="47" t="n"/>
      <c r="C115" s="48" t="n"/>
      <c r="D115" s="48" t="n"/>
      <c r="E115" s="51" t="n"/>
      <c r="F115" s="51"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c r="Z115" s="46" t="n"/>
    </row>
    <row r="116" ht="12.75" customHeight="1" s="162">
      <c r="A116" s="46" t="n"/>
      <c r="B116" s="47" t="n"/>
      <c r="C116" s="48" t="n"/>
      <c r="D116" s="48" t="n"/>
      <c r="E116" s="51" t="n"/>
      <c r="F116" s="51"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c r="Z116" s="46" t="n"/>
    </row>
    <row r="117" ht="12.75" customHeight="1" s="162">
      <c r="A117" s="46" t="n"/>
      <c r="B117" s="47" t="n"/>
      <c r="C117" s="48" t="n"/>
      <c r="D117" s="48" t="n"/>
      <c r="E117" s="51" t="n"/>
      <c r="F117" s="51"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c r="Z117" s="46" t="n"/>
    </row>
    <row r="118" ht="12.75" customHeight="1" s="162">
      <c r="A118" s="46" t="n"/>
      <c r="B118" s="47" t="n"/>
      <c r="C118" s="48" t="n"/>
      <c r="D118" s="48" t="n"/>
      <c r="E118" s="51" t="n"/>
      <c r="F118" s="51"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c r="Z118" s="46" t="n"/>
    </row>
    <row r="119" ht="12.75" customHeight="1" s="162">
      <c r="A119" s="46" t="n"/>
      <c r="B119" s="47" t="n"/>
      <c r="C119" s="48" t="n"/>
      <c r="D119" s="48" t="n"/>
      <c r="E119" s="51" t="n"/>
      <c r="F119" s="51"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c r="Z119" s="46" t="n"/>
    </row>
    <row r="120" ht="12.75" customHeight="1" s="162">
      <c r="A120" s="46" t="n"/>
      <c r="B120" s="47" t="n"/>
      <c r="C120" s="48" t="n"/>
      <c r="D120" s="48" t="n"/>
      <c r="E120" s="51" t="n"/>
      <c r="F120" s="51"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c r="Z120" s="46" t="n"/>
    </row>
    <row r="121" ht="12.75" customHeight="1" s="162">
      <c r="A121" s="46" t="n"/>
      <c r="B121" s="47" t="n"/>
      <c r="C121" s="48" t="n"/>
      <c r="D121" s="48" t="n"/>
      <c r="E121" s="51" t="n"/>
      <c r="F121" s="51"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row>
    <row r="122" ht="12.75" customHeight="1" s="162">
      <c r="A122" s="46" t="n"/>
      <c r="B122" s="47" t="n"/>
      <c r="C122" s="48" t="n"/>
      <c r="D122" s="48" t="n"/>
      <c r="E122" s="51" t="n"/>
      <c r="F122" s="51"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row>
    <row r="123" ht="12.75" customHeight="1" s="162">
      <c r="A123" s="46" t="n"/>
      <c r="B123" s="47" t="n"/>
      <c r="C123" s="48" t="n"/>
      <c r="D123" s="48" t="n"/>
      <c r="E123" s="51" t="n"/>
      <c r="F123" s="51"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c r="Z123" s="46" t="n"/>
    </row>
    <row r="124" ht="12.75" customHeight="1" s="162">
      <c r="A124" s="46" t="n"/>
      <c r="B124" s="47" t="n"/>
      <c r="C124" s="48" t="n"/>
      <c r="D124" s="48" t="n"/>
      <c r="E124" s="51" t="n"/>
      <c r="F124" s="51"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c r="Z124" s="46" t="n"/>
    </row>
    <row r="125" ht="12.75" customHeight="1" s="162">
      <c r="A125" s="46" t="n"/>
      <c r="B125" s="47" t="n"/>
      <c r="C125" s="48" t="n"/>
      <c r="D125" s="48" t="n"/>
      <c r="E125" s="51" t="n"/>
      <c r="F125" s="51"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c r="Z125" s="46" t="n"/>
    </row>
    <row r="126" ht="12.75" customHeight="1" s="162">
      <c r="A126" s="46" t="n"/>
      <c r="B126" s="47" t="n"/>
      <c r="C126" s="48" t="n"/>
      <c r="D126" s="48" t="n"/>
      <c r="E126" s="51" t="n"/>
      <c r="F126" s="51"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c r="Z126" s="46" t="n"/>
    </row>
    <row r="127" ht="12.75" customHeight="1" s="162">
      <c r="A127" s="46" t="n"/>
      <c r="B127" s="47" t="n"/>
      <c r="C127" s="48" t="n"/>
      <c r="D127" s="48" t="n"/>
      <c r="E127" s="51" t="n"/>
      <c r="F127" s="51"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c r="Z127" s="46" t="n"/>
    </row>
    <row r="128" ht="12.75" customHeight="1" s="162">
      <c r="A128" s="46" t="n"/>
      <c r="B128" s="47" t="n"/>
      <c r="C128" s="48" t="n"/>
      <c r="D128" s="48" t="n"/>
      <c r="E128" s="51" t="n"/>
      <c r="F128" s="51"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c r="Z128" s="46" t="n"/>
    </row>
    <row r="129" ht="12.75" customHeight="1" s="162">
      <c r="A129" s="46" t="n"/>
      <c r="B129" s="47" t="n"/>
      <c r="C129" s="48" t="n"/>
      <c r="D129" s="48" t="n"/>
      <c r="E129" s="51" t="n"/>
      <c r="F129" s="51"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row>
    <row r="130" ht="12.75" customHeight="1" s="162">
      <c r="A130" s="46" t="n"/>
      <c r="B130" s="47" t="n"/>
      <c r="C130" s="48" t="n"/>
      <c r="D130" s="48" t="n"/>
      <c r="E130" s="51" t="n"/>
      <c r="F130" s="51"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c r="Z130" s="46" t="n"/>
    </row>
    <row r="131" ht="12.75" customHeight="1" s="162">
      <c r="A131" s="46" t="n"/>
      <c r="B131" s="47" t="n"/>
      <c r="C131" s="48" t="n"/>
      <c r="D131" s="48" t="n"/>
      <c r="E131" s="51" t="n"/>
      <c r="F131" s="51"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row>
    <row r="132" ht="12.75" customHeight="1" s="162">
      <c r="A132" s="46" t="n"/>
      <c r="B132" s="47" t="n"/>
      <c r="C132" s="48" t="n"/>
      <c r="D132" s="48" t="n"/>
      <c r="E132" s="51" t="n"/>
      <c r="F132" s="51"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row>
    <row r="133" ht="12.75" customHeight="1" s="162">
      <c r="A133" s="46" t="n"/>
      <c r="B133" s="47" t="n"/>
      <c r="C133" s="48" t="n"/>
      <c r="D133" s="48" t="n"/>
      <c r="E133" s="51" t="n"/>
      <c r="F133" s="51"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row>
    <row r="134" ht="12.75" customHeight="1" s="162">
      <c r="A134" s="46" t="n"/>
      <c r="B134" s="47" t="n"/>
      <c r="C134" s="48" t="n"/>
      <c r="D134" s="48" t="n"/>
      <c r="E134" s="51" t="n"/>
      <c r="F134" s="51"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c r="Z134" s="46" t="n"/>
    </row>
    <row r="135" ht="12.75" customHeight="1" s="162">
      <c r="A135" s="46" t="n"/>
      <c r="B135" s="47" t="n"/>
      <c r="C135" s="48" t="n"/>
      <c r="D135" s="48" t="n"/>
      <c r="E135" s="51" t="n"/>
      <c r="F135" s="51"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row>
    <row r="136" ht="12.75" customHeight="1" s="162">
      <c r="A136" s="46" t="n"/>
      <c r="B136" s="47" t="n"/>
      <c r="C136" s="48" t="n"/>
      <c r="D136" s="48" t="n"/>
      <c r="E136" s="51" t="n"/>
      <c r="F136" s="51"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c r="Z136" s="46" t="n"/>
    </row>
    <row r="137" ht="12.75" customHeight="1" s="162">
      <c r="A137" s="46" t="n"/>
      <c r="B137" s="47" t="n"/>
      <c r="C137" s="48" t="n"/>
      <c r="D137" s="48" t="n"/>
      <c r="E137" s="51" t="n"/>
      <c r="F137" s="51"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row>
    <row r="138" ht="12.75" customHeight="1" s="162">
      <c r="A138" s="46" t="n"/>
      <c r="B138" s="47" t="n"/>
      <c r="C138" s="48" t="n"/>
      <c r="D138" s="48" t="n"/>
      <c r="E138" s="51" t="n"/>
      <c r="F138" s="51"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c r="Z138" s="46" t="n"/>
    </row>
    <row r="139" ht="12.75" customHeight="1" s="162">
      <c r="A139" s="46" t="n"/>
      <c r="B139" s="47" t="n"/>
      <c r="C139" s="48" t="n"/>
      <c r="D139" s="48" t="n"/>
      <c r="E139" s="51" t="n"/>
      <c r="F139" s="51"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c r="Z139" s="46" t="n"/>
    </row>
    <row r="140" ht="12.75" customHeight="1" s="162">
      <c r="A140" s="46" t="n"/>
      <c r="B140" s="47" t="n"/>
      <c r="C140" s="48" t="n"/>
      <c r="D140" s="48" t="n"/>
      <c r="E140" s="51" t="n"/>
      <c r="F140" s="51"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c r="Z140" s="46" t="n"/>
    </row>
    <row r="141" ht="12.75" customHeight="1" s="162">
      <c r="A141" s="46" t="n"/>
      <c r="B141" s="47" t="n"/>
      <c r="C141" s="48" t="n"/>
      <c r="D141" s="48" t="n"/>
      <c r="E141" s="51" t="n"/>
      <c r="F141" s="51"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c r="Z141" s="46" t="n"/>
    </row>
    <row r="142" ht="12.75" customHeight="1" s="162">
      <c r="A142" s="46" t="n"/>
      <c r="B142" s="47" t="n"/>
      <c r="C142" s="48" t="n"/>
      <c r="D142" s="48" t="n"/>
      <c r="E142" s="51" t="n"/>
      <c r="F142" s="51"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c r="Z142" s="46" t="n"/>
    </row>
    <row r="143" ht="12.75" customHeight="1" s="162">
      <c r="A143" s="46" t="n"/>
      <c r="B143" s="47" t="n"/>
      <c r="C143" s="48" t="n"/>
      <c r="D143" s="48" t="n"/>
      <c r="E143" s="51" t="n"/>
      <c r="F143" s="51"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c r="Z143" s="46" t="n"/>
    </row>
    <row r="144" ht="12.75" customHeight="1" s="162">
      <c r="A144" s="46" t="n"/>
      <c r="B144" s="47" t="n"/>
      <c r="C144" s="48" t="n"/>
      <c r="D144" s="48" t="n"/>
      <c r="E144" s="51" t="n"/>
      <c r="F144" s="51"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row>
    <row r="145" ht="12.75" customHeight="1" s="162">
      <c r="A145" s="46" t="n"/>
      <c r="B145" s="47" t="n"/>
      <c r="C145" s="48" t="n"/>
      <c r="D145" s="48" t="n"/>
      <c r="E145" s="51" t="n"/>
      <c r="F145" s="51"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row>
    <row r="146" ht="12.75" customHeight="1" s="162">
      <c r="A146" s="46" t="n"/>
      <c r="B146" s="47" t="n"/>
      <c r="C146" s="48" t="n"/>
      <c r="D146" s="48" t="n"/>
      <c r="E146" s="51" t="n"/>
      <c r="F146" s="51"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c r="Z146" s="46" t="n"/>
    </row>
    <row r="147" ht="12.75" customHeight="1" s="162">
      <c r="A147" s="46" t="n"/>
      <c r="B147" s="47" t="n"/>
      <c r="C147" s="48" t="n"/>
      <c r="D147" s="48" t="n"/>
      <c r="E147" s="51" t="n"/>
      <c r="F147" s="51"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c r="Z147" s="46" t="n"/>
    </row>
    <row r="148" ht="12.75" customHeight="1" s="162">
      <c r="A148" s="46" t="n"/>
      <c r="B148" s="47" t="n"/>
      <c r="C148" s="48" t="n"/>
      <c r="D148" s="48" t="n"/>
      <c r="E148" s="51" t="n"/>
      <c r="F148" s="51"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c r="Z148" s="46" t="n"/>
    </row>
    <row r="149" ht="12.75" customHeight="1" s="162">
      <c r="A149" s="46" t="n"/>
      <c r="B149" s="47" t="n"/>
      <c r="C149" s="48" t="n"/>
      <c r="D149" s="48" t="n"/>
      <c r="E149" s="51" t="n"/>
      <c r="F149" s="51"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c r="Z149" s="46" t="n"/>
    </row>
    <row r="150" ht="12.75" customHeight="1" s="162">
      <c r="A150" s="46" t="n"/>
      <c r="B150" s="47" t="n"/>
      <c r="C150" s="48" t="n"/>
      <c r="D150" s="48" t="n"/>
      <c r="E150" s="51" t="n"/>
      <c r="F150" s="51"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c r="Z150" s="46" t="n"/>
    </row>
    <row r="151" ht="12.75" customHeight="1" s="162">
      <c r="A151" s="46" t="n"/>
      <c r="B151" s="47" t="n"/>
      <c r="C151" s="48" t="n"/>
      <c r="D151" s="48" t="n"/>
      <c r="E151" s="51" t="n"/>
      <c r="F151" s="51"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c r="Z151" s="46" t="n"/>
    </row>
    <row r="152" ht="12.75" customHeight="1" s="162">
      <c r="A152" s="46" t="n"/>
      <c r="B152" s="47" t="n"/>
      <c r="C152" s="48" t="n"/>
      <c r="D152" s="48" t="n"/>
      <c r="E152" s="51" t="n"/>
      <c r="F152" s="51"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c r="Z152" s="46" t="n"/>
    </row>
    <row r="153" ht="12.75" customHeight="1" s="162">
      <c r="A153" s="46" t="n"/>
      <c r="B153" s="47" t="n"/>
      <c r="C153" s="48" t="n"/>
      <c r="D153" s="48" t="n"/>
      <c r="E153" s="51" t="n"/>
      <c r="F153" s="51"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c r="Z153" s="46" t="n"/>
    </row>
    <row r="154" ht="12.75" customHeight="1" s="162">
      <c r="A154" s="46" t="n"/>
      <c r="B154" s="47" t="n"/>
      <c r="C154" s="48" t="n"/>
      <c r="D154" s="48" t="n"/>
      <c r="E154" s="51" t="n"/>
      <c r="F154" s="51"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row>
    <row r="155" ht="12.75" customHeight="1" s="162">
      <c r="A155" s="46" t="n"/>
      <c r="B155" s="47" t="n"/>
      <c r="C155" s="48" t="n"/>
      <c r="D155" s="48" t="n"/>
      <c r="E155" s="51" t="n"/>
      <c r="F155" s="51"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c r="Z155" s="46" t="n"/>
    </row>
    <row r="156" ht="12.75" customHeight="1" s="162">
      <c r="A156" s="46" t="n"/>
      <c r="B156" s="47" t="n"/>
      <c r="C156" s="48" t="n"/>
      <c r="D156" s="48" t="n"/>
      <c r="E156" s="51" t="n"/>
      <c r="F156" s="51"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c r="Z156" s="46" t="n"/>
    </row>
    <row r="157" ht="12.75" customHeight="1" s="162">
      <c r="A157" s="46" t="n"/>
      <c r="B157" s="47" t="n"/>
      <c r="C157" s="48" t="n"/>
      <c r="D157" s="48" t="n"/>
      <c r="E157" s="51" t="n"/>
      <c r="F157" s="51"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c r="Z157" s="46" t="n"/>
    </row>
    <row r="158" ht="12.75" customHeight="1" s="162">
      <c r="A158" s="46" t="n"/>
      <c r="B158" s="47" t="n"/>
      <c r="C158" s="48" t="n"/>
      <c r="D158" s="48" t="n"/>
      <c r="E158" s="51" t="n"/>
      <c r="F158" s="51"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c r="Z158" s="46" t="n"/>
    </row>
    <row r="159" ht="12.75" customHeight="1" s="162">
      <c r="A159" s="46" t="n"/>
      <c r="B159" s="47" t="n"/>
      <c r="C159" s="48" t="n"/>
      <c r="D159" s="48" t="n"/>
      <c r="E159" s="51" t="n"/>
      <c r="F159" s="51"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c r="Z159" s="46" t="n"/>
    </row>
    <row r="160" ht="12.75" customHeight="1" s="162">
      <c r="A160" s="46" t="n"/>
      <c r="B160" s="47" t="n"/>
      <c r="C160" s="48" t="n"/>
      <c r="D160" s="48" t="n"/>
      <c r="E160" s="51" t="n"/>
      <c r="F160" s="51"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c r="Z160" s="46" t="n"/>
    </row>
    <row r="161" ht="12.75" customHeight="1" s="162">
      <c r="A161" s="46" t="n"/>
      <c r="B161" s="47" t="n"/>
      <c r="C161" s="48" t="n"/>
      <c r="D161" s="48" t="n"/>
      <c r="E161" s="51" t="n"/>
      <c r="F161" s="51"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row>
    <row r="162" ht="12.75" customHeight="1" s="162">
      <c r="A162" s="46" t="n"/>
      <c r="B162" s="47" t="n"/>
      <c r="C162" s="48" t="n"/>
      <c r="D162" s="48" t="n"/>
      <c r="E162" s="51" t="n"/>
      <c r="F162" s="51"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row>
    <row r="163" ht="12.75" customHeight="1" s="162">
      <c r="A163" s="46" t="n"/>
      <c r="B163" s="47" t="n"/>
      <c r="C163" s="48" t="n"/>
      <c r="D163" s="48" t="n"/>
      <c r="E163" s="51" t="n"/>
      <c r="F163" s="51"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row>
    <row r="164" ht="12.75" customHeight="1" s="162">
      <c r="A164" s="46" t="n"/>
      <c r="B164" s="47" t="n"/>
      <c r="C164" s="48" t="n"/>
      <c r="D164" s="48" t="n"/>
      <c r="E164" s="51" t="n"/>
      <c r="F164" s="51"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row>
    <row r="165" ht="12.75" customHeight="1" s="162">
      <c r="A165" s="46" t="n"/>
      <c r="B165" s="47" t="n"/>
      <c r="C165" s="48" t="n"/>
      <c r="D165" s="48" t="n"/>
      <c r="E165" s="51" t="n"/>
      <c r="F165" s="51"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row>
    <row r="166" ht="12.75" customHeight="1" s="162">
      <c r="A166" s="46" t="n"/>
      <c r="B166" s="47" t="n"/>
      <c r="C166" s="48" t="n"/>
      <c r="D166" s="48" t="n"/>
      <c r="E166" s="51" t="n"/>
      <c r="F166" s="51"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row>
    <row r="167" ht="12.75" customHeight="1" s="162">
      <c r="A167" s="46" t="n"/>
      <c r="B167" s="47" t="n"/>
      <c r="C167" s="48" t="n"/>
      <c r="D167" s="48" t="n"/>
      <c r="E167" s="51" t="n"/>
      <c r="F167" s="51"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row>
    <row r="168" ht="12.75" customHeight="1" s="162">
      <c r="A168" s="46" t="n"/>
      <c r="B168" s="47" t="n"/>
      <c r="C168" s="48" t="n"/>
      <c r="D168" s="48" t="n"/>
      <c r="E168" s="51" t="n"/>
      <c r="F168" s="51"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row>
    <row r="169" ht="12.75" customHeight="1" s="162">
      <c r="A169" s="46" t="n"/>
      <c r="B169" s="47" t="n"/>
      <c r="C169" s="48" t="n"/>
      <c r="D169" s="48" t="n"/>
      <c r="E169" s="51" t="n"/>
      <c r="F169" s="51"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row>
    <row r="170" ht="12.75" customHeight="1" s="162">
      <c r="A170" s="46" t="n"/>
      <c r="B170" s="47" t="n"/>
      <c r="C170" s="48" t="n"/>
      <c r="D170" s="48" t="n"/>
      <c r="E170" s="51" t="n"/>
      <c r="F170" s="51"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row>
    <row r="171" ht="12.75" customHeight="1" s="162">
      <c r="A171" s="46" t="n"/>
      <c r="B171" s="47" t="n"/>
      <c r="C171" s="48" t="n"/>
      <c r="D171" s="48" t="n"/>
      <c r="E171" s="51" t="n"/>
      <c r="F171" s="51"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row>
    <row r="172" ht="12.75" customHeight="1" s="162">
      <c r="A172" s="46" t="n"/>
      <c r="B172" s="47" t="n"/>
      <c r="C172" s="48" t="n"/>
      <c r="D172" s="48" t="n"/>
      <c r="E172" s="51" t="n"/>
      <c r="F172" s="51"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row>
    <row r="173" ht="12.75" customHeight="1" s="162">
      <c r="A173" s="46" t="n"/>
      <c r="B173" s="47" t="n"/>
      <c r="C173" s="48" t="n"/>
      <c r="D173" s="48" t="n"/>
      <c r="E173" s="51" t="n"/>
      <c r="F173" s="51"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row>
    <row r="174" ht="12.75" customHeight="1" s="162">
      <c r="A174" s="46" t="n"/>
      <c r="B174" s="47" t="n"/>
      <c r="C174" s="48" t="n"/>
      <c r="D174" s="48" t="n"/>
      <c r="E174" s="51" t="n"/>
      <c r="F174" s="51"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row>
    <row r="175" ht="12.75" customHeight="1" s="162">
      <c r="A175" s="46" t="n"/>
      <c r="B175" s="47" t="n"/>
      <c r="C175" s="48" t="n"/>
      <c r="D175" s="48" t="n"/>
      <c r="E175" s="51" t="n"/>
      <c r="F175" s="51"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row>
    <row r="176" ht="12.75" customHeight="1" s="162">
      <c r="A176" s="46" t="n"/>
      <c r="B176" s="47" t="n"/>
      <c r="C176" s="48" t="n"/>
      <c r="D176" s="48" t="n"/>
      <c r="E176" s="51" t="n"/>
      <c r="F176" s="51"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row>
    <row r="177" ht="12.75" customHeight="1" s="162">
      <c r="A177" s="46" t="n"/>
      <c r="B177" s="47" t="n"/>
      <c r="C177" s="48" t="n"/>
      <c r="D177" s="48" t="n"/>
      <c r="E177" s="51" t="n"/>
      <c r="F177" s="51"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row>
    <row r="178" ht="12.75" customHeight="1" s="162">
      <c r="A178" s="46" t="n"/>
      <c r="B178" s="47" t="n"/>
      <c r="C178" s="48" t="n"/>
      <c r="D178" s="48" t="n"/>
      <c r="E178" s="51" t="n"/>
      <c r="F178" s="51"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row>
    <row r="179" ht="12.75" customHeight="1" s="162">
      <c r="A179" s="46" t="n"/>
      <c r="B179" s="47" t="n"/>
      <c r="C179" s="48" t="n"/>
      <c r="D179" s="48" t="n"/>
      <c r="E179" s="51" t="n"/>
      <c r="F179" s="51"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row>
    <row r="180" ht="12.75" customHeight="1" s="162">
      <c r="A180" s="46" t="n"/>
      <c r="B180" s="47" t="n"/>
      <c r="C180" s="48" t="n"/>
      <c r="D180" s="48" t="n"/>
      <c r="E180" s="51" t="n"/>
      <c r="F180" s="51"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row>
    <row r="181" ht="12.75" customHeight="1" s="162">
      <c r="A181" s="46" t="n"/>
      <c r="B181" s="47" t="n"/>
      <c r="C181" s="48" t="n"/>
      <c r="D181" s="48" t="n"/>
      <c r="E181" s="51" t="n"/>
      <c r="F181" s="51"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row>
    <row r="182" ht="12.75" customHeight="1" s="162">
      <c r="A182" s="46" t="n"/>
      <c r="B182" s="47" t="n"/>
      <c r="C182" s="48" t="n"/>
      <c r="D182" s="48" t="n"/>
      <c r="E182" s="51" t="n"/>
      <c r="F182" s="51"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row>
    <row r="183" ht="12.75" customHeight="1" s="162">
      <c r="A183" s="46" t="n"/>
      <c r="B183" s="47" t="n"/>
      <c r="C183" s="48" t="n"/>
      <c r="D183" s="48" t="n"/>
      <c r="E183" s="51" t="n"/>
      <c r="F183" s="51"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row>
    <row r="184" ht="12.75" customHeight="1" s="162">
      <c r="A184" s="46" t="n"/>
      <c r="B184" s="47" t="n"/>
      <c r="C184" s="48" t="n"/>
      <c r="D184" s="48" t="n"/>
      <c r="E184" s="51" t="n"/>
      <c r="F184" s="51"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row>
    <row r="185" ht="12.75" customHeight="1" s="162">
      <c r="A185" s="46" t="n"/>
      <c r="B185" s="47" t="n"/>
      <c r="C185" s="48" t="n"/>
      <c r="D185" s="48" t="n"/>
      <c r="E185" s="51" t="n"/>
      <c r="F185" s="51"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row>
    <row r="186" ht="12.75" customHeight="1" s="162">
      <c r="A186" s="46" t="n"/>
      <c r="B186" s="47" t="n"/>
      <c r="C186" s="48" t="n"/>
      <c r="D186" s="48" t="n"/>
      <c r="E186" s="51" t="n"/>
      <c r="F186" s="51"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row>
    <row r="187" ht="12.75" customHeight="1" s="162">
      <c r="A187" s="46" t="n"/>
      <c r="B187" s="47" t="n"/>
      <c r="C187" s="48" t="n"/>
      <c r="D187" s="48" t="n"/>
      <c r="E187" s="51" t="n"/>
      <c r="F187" s="51"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row>
    <row r="188" ht="12.75" customHeight="1" s="162">
      <c r="A188" s="46" t="n"/>
      <c r="B188" s="47" t="n"/>
      <c r="C188" s="48" t="n"/>
      <c r="D188" s="48" t="n"/>
      <c r="E188" s="51" t="n"/>
      <c r="F188" s="51"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row>
    <row r="189" ht="12.75" customHeight="1" s="162">
      <c r="A189" s="46" t="n"/>
      <c r="B189" s="47" t="n"/>
      <c r="C189" s="48" t="n"/>
      <c r="D189" s="48" t="n"/>
      <c r="E189" s="51" t="n"/>
      <c r="F189" s="51"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row>
    <row r="190" ht="12.75" customHeight="1" s="162">
      <c r="A190" s="46" t="n"/>
      <c r="B190" s="47" t="n"/>
      <c r="C190" s="48" t="n"/>
      <c r="D190" s="48" t="n"/>
      <c r="E190" s="51" t="n"/>
      <c r="F190" s="51"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row>
    <row r="191" ht="12.75" customHeight="1" s="162">
      <c r="A191" s="46" t="n"/>
      <c r="B191" s="47" t="n"/>
      <c r="C191" s="48" t="n"/>
      <c r="D191" s="48" t="n"/>
      <c r="E191" s="51" t="n"/>
      <c r="F191" s="51"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row>
    <row r="192" ht="12.75" customHeight="1" s="162">
      <c r="A192" s="46" t="n"/>
      <c r="B192" s="47" t="n"/>
      <c r="C192" s="48" t="n"/>
      <c r="D192" s="48" t="n"/>
      <c r="E192" s="51" t="n"/>
      <c r="F192" s="51"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row>
    <row r="193" ht="12.75" customHeight="1" s="162">
      <c r="A193" s="46" t="n"/>
      <c r="B193" s="47" t="n"/>
      <c r="C193" s="48" t="n"/>
      <c r="D193" s="48" t="n"/>
      <c r="E193" s="51" t="n"/>
      <c r="F193" s="51"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row>
    <row r="194" ht="12.75" customHeight="1" s="162">
      <c r="A194" s="46" t="n"/>
      <c r="B194" s="47" t="n"/>
      <c r="C194" s="48" t="n"/>
      <c r="D194" s="48" t="n"/>
      <c r="E194" s="51" t="n"/>
      <c r="F194" s="51"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row>
    <row r="195" ht="12.75" customHeight="1" s="162">
      <c r="A195" s="46" t="n"/>
      <c r="B195" s="47" t="n"/>
      <c r="C195" s="48" t="n"/>
      <c r="D195" s="48" t="n"/>
      <c r="E195" s="51" t="n"/>
      <c r="F195" s="51"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row>
    <row r="196" ht="12.75" customHeight="1" s="162">
      <c r="A196" s="46" t="n"/>
      <c r="B196" s="47" t="n"/>
      <c r="C196" s="48" t="n"/>
      <c r="D196" s="48" t="n"/>
      <c r="E196" s="51" t="n"/>
      <c r="F196" s="51"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row>
    <row r="197" ht="12.75" customHeight="1" s="162">
      <c r="A197" s="46" t="n"/>
      <c r="B197" s="47" t="n"/>
      <c r="C197" s="48" t="n"/>
      <c r="D197" s="48" t="n"/>
      <c r="E197" s="51" t="n"/>
      <c r="F197" s="51"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row>
    <row r="198" ht="12.75" customHeight="1" s="162">
      <c r="A198" s="46" t="n"/>
      <c r="B198" s="47" t="n"/>
      <c r="C198" s="48" t="n"/>
      <c r="D198" s="48" t="n"/>
      <c r="E198" s="51" t="n"/>
      <c r="F198" s="51"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row>
    <row r="199" ht="12.75" customHeight="1" s="162">
      <c r="A199" s="46" t="n"/>
      <c r="B199" s="47" t="n"/>
      <c r="C199" s="48" t="n"/>
      <c r="D199" s="48" t="n"/>
      <c r="E199" s="51" t="n"/>
      <c r="F199" s="51"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row>
    <row r="200" ht="12.75" customHeight="1" s="162">
      <c r="A200" s="46" t="n"/>
      <c r="B200" s="47" t="n"/>
      <c r="C200" s="48" t="n"/>
      <c r="D200" s="48" t="n"/>
      <c r="E200" s="51" t="n"/>
      <c r="F200" s="51"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row>
    <row r="201" ht="12.75" customHeight="1" s="162">
      <c r="A201" s="46" t="n"/>
      <c r="B201" s="47" t="n"/>
      <c r="C201" s="48" t="n"/>
      <c r="D201" s="48" t="n"/>
      <c r="E201" s="51" t="n"/>
      <c r="F201" s="51"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row>
    <row r="202" ht="12.75" customHeight="1" s="162">
      <c r="A202" s="46" t="n"/>
      <c r="B202" s="47" t="n"/>
      <c r="C202" s="48" t="n"/>
      <c r="D202" s="48" t="n"/>
      <c r="E202" s="51" t="n"/>
      <c r="F202" s="51"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row>
    <row r="203" ht="12.75" customHeight="1" s="162">
      <c r="A203" s="46" t="n"/>
      <c r="B203" s="47" t="n"/>
      <c r="C203" s="48" t="n"/>
      <c r="D203" s="48" t="n"/>
      <c r="E203" s="51" t="n"/>
      <c r="F203" s="51"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row>
    <row r="204" ht="12.75" customHeight="1" s="162">
      <c r="A204" s="46" t="n"/>
      <c r="B204" s="47" t="n"/>
      <c r="C204" s="48" t="n"/>
      <c r="D204" s="48" t="n"/>
      <c r="E204" s="51" t="n"/>
      <c r="F204" s="51"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row>
    <row r="205" ht="12.75" customHeight="1" s="162">
      <c r="A205" s="46" t="n"/>
      <c r="B205" s="47" t="n"/>
      <c r="C205" s="48" t="n"/>
      <c r="D205" s="48" t="n"/>
      <c r="E205" s="51" t="n"/>
      <c r="F205" s="51"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row>
    <row r="206" ht="12.75" customHeight="1" s="162">
      <c r="A206" s="46" t="n"/>
      <c r="B206" s="47" t="n"/>
      <c r="C206" s="48" t="n"/>
      <c r="D206" s="48" t="n"/>
      <c r="E206" s="51" t="n"/>
      <c r="F206" s="51"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row>
    <row r="207" ht="12.75" customHeight="1" s="162">
      <c r="A207" s="46" t="n"/>
      <c r="B207" s="47" t="n"/>
      <c r="C207" s="48" t="n"/>
      <c r="D207" s="48" t="n"/>
      <c r="E207" s="51" t="n"/>
      <c r="F207" s="51"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row>
    <row r="208" ht="12.75" customHeight="1" s="162">
      <c r="A208" s="46" t="n"/>
      <c r="B208" s="47" t="n"/>
      <c r="C208" s="48" t="n"/>
      <c r="D208" s="48" t="n"/>
      <c r="E208" s="51" t="n"/>
      <c r="F208" s="51"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row>
    <row r="209" ht="12.75" customHeight="1" s="162">
      <c r="A209" s="46" t="n"/>
      <c r="B209" s="47" t="n"/>
      <c r="C209" s="48" t="n"/>
      <c r="D209" s="48" t="n"/>
      <c r="E209" s="51" t="n"/>
      <c r="F209" s="51"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row>
    <row r="210" ht="12.75" customHeight="1" s="162">
      <c r="A210" s="46" t="n"/>
      <c r="B210" s="47" t="n"/>
      <c r="C210" s="48" t="n"/>
      <c r="D210" s="48" t="n"/>
      <c r="E210" s="51" t="n"/>
      <c r="F210" s="51"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row>
    <row r="211" ht="12.75" customHeight="1" s="162">
      <c r="A211" s="46" t="n"/>
      <c r="B211" s="47" t="n"/>
      <c r="C211" s="48" t="n"/>
      <c r="D211" s="48" t="n"/>
      <c r="E211" s="51" t="n"/>
      <c r="F211" s="51"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row>
    <row r="212" ht="12.75" customHeight="1" s="162">
      <c r="A212" s="46" t="n"/>
      <c r="B212" s="47" t="n"/>
      <c r="C212" s="48" t="n"/>
      <c r="D212" s="48" t="n"/>
      <c r="E212" s="51" t="n"/>
      <c r="F212" s="51"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row>
    <row r="213" ht="12.75" customHeight="1" s="162">
      <c r="A213" s="46" t="n"/>
      <c r="B213" s="47" t="n"/>
      <c r="C213" s="48" t="n"/>
      <c r="D213" s="48" t="n"/>
      <c r="E213" s="51" t="n"/>
      <c r="F213" s="51"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row>
    <row r="214" ht="12.75" customHeight="1" s="162">
      <c r="A214" s="46" t="n"/>
      <c r="B214" s="47" t="n"/>
      <c r="C214" s="48" t="n"/>
      <c r="D214" s="48" t="n"/>
      <c r="E214" s="51" t="n"/>
      <c r="F214" s="51"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row>
    <row r="215" ht="12.75" customHeight="1" s="162">
      <c r="A215" s="46" t="n"/>
      <c r="B215" s="47" t="n"/>
      <c r="C215" s="48" t="n"/>
      <c r="D215" s="48" t="n"/>
      <c r="E215" s="51" t="n"/>
      <c r="F215" s="51"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row>
    <row r="216" ht="12.75" customHeight="1" s="162">
      <c r="A216" s="46" t="n"/>
      <c r="B216" s="47" t="n"/>
      <c r="C216" s="48" t="n"/>
      <c r="D216" s="48" t="n"/>
      <c r="E216" s="51" t="n"/>
      <c r="F216" s="51"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row>
    <row r="217" ht="12.75" customHeight="1" s="162">
      <c r="A217" s="46" t="n"/>
      <c r="B217" s="47" t="n"/>
      <c r="C217" s="48" t="n"/>
      <c r="D217" s="48" t="n"/>
      <c r="E217" s="51" t="n"/>
      <c r="F217" s="51"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row>
    <row r="218" ht="12.75" customHeight="1" s="162">
      <c r="A218" s="46" t="n"/>
      <c r="B218" s="47" t="n"/>
      <c r="C218" s="48" t="n"/>
      <c r="D218" s="48" t="n"/>
      <c r="E218" s="51" t="n"/>
      <c r="F218" s="51"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row>
    <row r="219" ht="12.75" customHeight="1" s="162">
      <c r="A219" s="46" t="n"/>
      <c r="B219" s="47" t="n"/>
      <c r="C219" s="48" t="n"/>
      <c r="D219" s="48" t="n"/>
      <c r="E219" s="51" t="n"/>
      <c r="F219" s="51"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row>
    <row r="220" ht="12.75" customHeight="1" s="162">
      <c r="A220" s="46" t="n"/>
      <c r="B220" s="47" t="n"/>
      <c r="C220" s="48" t="n"/>
      <c r="D220" s="48" t="n"/>
      <c r="E220" s="51" t="n"/>
      <c r="F220" s="51"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row>
    <row r="221" ht="15.75" customHeight="1" s="162">
      <c r="E221" s="45" t="n"/>
      <c r="F221" s="45" t="n"/>
    </row>
    <row r="222" ht="15.75" customHeight="1" s="162">
      <c r="E222" s="45" t="n"/>
      <c r="F222" s="45" t="n"/>
    </row>
    <row r="223" ht="15.75" customHeight="1" s="162">
      <c r="E223" s="45" t="n"/>
      <c r="F223" s="45" t="n"/>
    </row>
    <row r="224" ht="15.75" customHeight="1" s="162">
      <c r="E224" s="45" t="n"/>
      <c r="F224" s="45" t="n"/>
    </row>
    <row r="225" ht="15.75" customHeight="1" s="162">
      <c r="E225" s="45" t="n"/>
      <c r="F225" s="45" t="n"/>
    </row>
    <row r="226" ht="15.75" customHeight="1" s="162">
      <c r="E226" s="45" t="n"/>
      <c r="F226" s="45" t="n"/>
    </row>
    <row r="227" ht="15.75" customHeight="1" s="162">
      <c r="E227" s="45" t="n"/>
      <c r="F227" s="45" t="n"/>
    </row>
    <row r="228" ht="15.75" customHeight="1" s="162">
      <c r="E228" s="45" t="n"/>
      <c r="F228" s="45" t="n"/>
    </row>
    <row r="229" ht="15.75" customHeight="1" s="162">
      <c r="E229" s="45" t="n"/>
      <c r="F229" s="45" t="n"/>
    </row>
    <row r="230" ht="15.75" customHeight="1" s="162">
      <c r="E230" s="45" t="n"/>
      <c r="F230" s="45" t="n"/>
    </row>
    <row r="231" ht="15.75" customHeight="1" s="162">
      <c r="E231" s="45" t="n"/>
      <c r="F231" s="45" t="n"/>
    </row>
    <row r="232" ht="15.75" customHeight="1" s="162">
      <c r="E232" s="45" t="n"/>
      <c r="F232" s="45" t="n"/>
    </row>
    <row r="233" ht="15.75" customHeight="1" s="162">
      <c r="E233" s="45" t="n"/>
      <c r="F233" s="45" t="n"/>
    </row>
    <row r="234" ht="15.75" customHeight="1" s="162">
      <c r="E234" s="45" t="n"/>
      <c r="F234" s="45" t="n"/>
    </row>
    <row r="235" ht="15.75" customHeight="1" s="162">
      <c r="E235" s="45" t="n"/>
      <c r="F235" s="45" t="n"/>
    </row>
    <row r="236" ht="15.75" customHeight="1" s="162">
      <c r="E236" s="45" t="n"/>
      <c r="F236" s="45" t="n"/>
    </row>
    <row r="237" ht="15.75" customHeight="1" s="162">
      <c r="E237" s="45" t="n"/>
      <c r="F237" s="45" t="n"/>
    </row>
    <row r="238" ht="15.75" customHeight="1" s="162">
      <c r="E238" s="45" t="n"/>
      <c r="F238" s="45" t="n"/>
    </row>
    <row r="239" ht="15.75" customHeight="1" s="162">
      <c r="E239" s="45" t="n"/>
      <c r="F239" s="45" t="n"/>
    </row>
    <row r="240" ht="15.75" customHeight="1" s="162">
      <c r="E240" s="45" t="n"/>
      <c r="F240" s="45" t="n"/>
    </row>
    <row r="241" ht="15.75" customHeight="1" s="162">
      <c r="E241" s="45" t="n"/>
      <c r="F241" s="45" t="n"/>
    </row>
    <row r="242" ht="15.75" customHeight="1" s="162">
      <c r="E242" s="45" t="n"/>
      <c r="F242" s="45" t="n"/>
    </row>
    <row r="243" ht="15.75" customHeight="1" s="162">
      <c r="E243" s="45" t="n"/>
      <c r="F243" s="45" t="n"/>
    </row>
    <row r="244" ht="15.75" customHeight="1" s="162">
      <c r="E244" s="45" t="n"/>
      <c r="F244" s="45" t="n"/>
    </row>
    <row r="245" ht="15.75" customHeight="1" s="162">
      <c r="E245" s="45" t="n"/>
      <c r="F245" s="45" t="n"/>
    </row>
    <row r="246" ht="15.75" customHeight="1" s="162">
      <c r="E246" s="45" t="n"/>
      <c r="F246" s="45" t="n"/>
    </row>
    <row r="247" ht="15.75" customHeight="1" s="162">
      <c r="E247" s="45" t="n"/>
      <c r="F247" s="45" t="n"/>
    </row>
    <row r="248" ht="15.75" customHeight="1" s="162">
      <c r="E248" s="45" t="n"/>
      <c r="F248" s="45" t="n"/>
    </row>
    <row r="249" ht="15.75" customHeight="1" s="162">
      <c r="E249" s="45" t="n"/>
      <c r="F249" s="45" t="n"/>
    </row>
    <row r="250" ht="15.75" customHeight="1" s="162">
      <c r="E250" s="45" t="n"/>
      <c r="F250" s="45" t="n"/>
    </row>
    <row r="251" ht="15.75" customHeight="1" s="162">
      <c r="E251" s="45" t="n"/>
      <c r="F251" s="45" t="n"/>
    </row>
    <row r="252" ht="15.75" customHeight="1" s="162">
      <c r="E252" s="45" t="n"/>
      <c r="F252" s="45" t="n"/>
    </row>
    <row r="253" ht="15.75" customHeight="1" s="162">
      <c r="E253" s="45" t="n"/>
      <c r="F253" s="45" t="n"/>
    </row>
    <row r="254" ht="15.75" customHeight="1" s="162">
      <c r="E254" s="45" t="n"/>
      <c r="F254" s="45" t="n"/>
    </row>
    <row r="255" ht="15.75" customHeight="1" s="162">
      <c r="E255" s="45" t="n"/>
      <c r="F255" s="45" t="n"/>
    </row>
    <row r="256" ht="15.75" customHeight="1" s="162">
      <c r="E256" s="45" t="n"/>
      <c r="F256" s="45" t="n"/>
    </row>
    <row r="257" ht="15.75" customHeight="1" s="162">
      <c r="E257" s="45" t="n"/>
      <c r="F257" s="45" t="n"/>
    </row>
    <row r="258" ht="15.75" customHeight="1" s="162">
      <c r="E258" s="45" t="n"/>
      <c r="F258" s="45" t="n"/>
    </row>
    <row r="259" ht="15.75" customHeight="1" s="162">
      <c r="E259" s="45" t="n"/>
      <c r="F259" s="45" t="n"/>
    </row>
    <row r="260" ht="15.75" customHeight="1" s="162">
      <c r="E260" s="45" t="n"/>
      <c r="F260" s="45" t="n"/>
    </row>
    <row r="261" ht="15.75" customHeight="1" s="162">
      <c r="E261" s="45" t="n"/>
      <c r="F261" s="45" t="n"/>
    </row>
    <row r="262" ht="15.75" customHeight="1" s="162">
      <c r="E262" s="45" t="n"/>
      <c r="F262" s="45" t="n"/>
    </row>
    <row r="263" ht="15.75" customHeight="1" s="162">
      <c r="E263" s="45" t="n"/>
      <c r="F263" s="45" t="n"/>
    </row>
    <row r="264" ht="15.75" customHeight="1" s="162">
      <c r="E264" s="45" t="n"/>
      <c r="F264" s="45" t="n"/>
    </row>
    <row r="265" ht="15.75" customHeight="1" s="162">
      <c r="E265" s="45" t="n"/>
      <c r="F265" s="45" t="n"/>
    </row>
    <row r="266" ht="15.75" customHeight="1" s="162">
      <c r="E266" s="45" t="n"/>
      <c r="F266" s="45" t="n"/>
    </row>
    <row r="267" ht="15.75" customHeight="1" s="162">
      <c r="E267" s="45" t="n"/>
      <c r="F267" s="45" t="n"/>
    </row>
    <row r="268" ht="15.75" customHeight="1" s="162">
      <c r="E268" s="45" t="n"/>
      <c r="F268" s="45" t="n"/>
    </row>
    <row r="269" ht="15.75" customHeight="1" s="162">
      <c r="E269" s="45" t="n"/>
      <c r="F269" s="45" t="n"/>
    </row>
    <row r="270" ht="15.75" customHeight="1" s="162">
      <c r="E270" s="45" t="n"/>
      <c r="F270" s="45" t="n"/>
    </row>
    <row r="271" ht="15.75" customHeight="1" s="162">
      <c r="E271" s="45" t="n"/>
      <c r="F271" s="45" t="n"/>
    </row>
    <row r="272" ht="15.75" customHeight="1" s="162">
      <c r="E272" s="45" t="n"/>
      <c r="F272" s="45" t="n"/>
    </row>
    <row r="273" ht="15.75" customHeight="1" s="162">
      <c r="E273" s="45" t="n"/>
      <c r="F273" s="45" t="n"/>
    </row>
    <row r="274" ht="15.75" customHeight="1" s="162">
      <c r="E274" s="45" t="n"/>
      <c r="F274" s="45" t="n"/>
    </row>
    <row r="275" ht="15.75" customHeight="1" s="162">
      <c r="E275" s="45" t="n"/>
      <c r="F275" s="45" t="n"/>
    </row>
    <row r="276" ht="15.75" customHeight="1" s="162">
      <c r="E276" s="45" t="n"/>
      <c r="F276" s="45" t="n"/>
    </row>
    <row r="277" ht="15.75" customHeight="1" s="162">
      <c r="E277" s="45" t="n"/>
      <c r="F277" s="45" t="n"/>
    </row>
    <row r="278" ht="15.75" customHeight="1" s="162">
      <c r="E278" s="45" t="n"/>
      <c r="F278" s="45" t="n"/>
    </row>
    <row r="279" ht="15.75" customHeight="1" s="162">
      <c r="E279" s="45" t="n"/>
      <c r="F279" s="45" t="n"/>
    </row>
    <row r="280" ht="15.75" customHeight="1" s="162">
      <c r="E280" s="45" t="n"/>
      <c r="F280" s="45" t="n"/>
    </row>
    <row r="281" ht="15.75" customHeight="1" s="162">
      <c r="E281" s="45" t="n"/>
      <c r="F281" s="45" t="n"/>
    </row>
    <row r="282" ht="15.75" customHeight="1" s="162">
      <c r="E282" s="45" t="n"/>
      <c r="F282" s="45" t="n"/>
    </row>
    <row r="283" ht="15.75" customHeight="1" s="162">
      <c r="E283" s="45" t="n"/>
      <c r="F283" s="45" t="n"/>
    </row>
    <row r="284" ht="15.75" customHeight="1" s="162">
      <c r="E284" s="45" t="n"/>
      <c r="F284" s="45" t="n"/>
    </row>
    <row r="285" ht="15.75" customHeight="1" s="162">
      <c r="E285" s="45" t="n"/>
      <c r="F285" s="45" t="n"/>
    </row>
    <row r="286" ht="15.75" customHeight="1" s="162">
      <c r="E286" s="45" t="n"/>
      <c r="F286" s="45" t="n"/>
    </row>
    <row r="287" ht="15.75" customHeight="1" s="162">
      <c r="E287" s="45" t="n"/>
      <c r="F287" s="45" t="n"/>
    </row>
    <row r="288" ht="15.75" customHeight="1" s="162">
      <c r="E288" s="45" t="n"/>
      <c r="F288" s="45" t="n"/>
    </row>
    <row r="289" ht="15.75" customHeight="1" s="162">
      <c r="E289" s="45" t="n"/>
      <c r="F289" s="45" t="n"/>
    </row>
    <row r="290" ht="15.75" customHeight="1" s="162">
      <c r="E290" s="45" t="n"/>
      <c r="F290" s="45" t="n"/>
    </row>
    <row r="291" ht="15.75" customHeight="1" s="162">
      <c r="E291" s="45" t="n"/>
      <c r="F291" s="45" t="n"/>
    </row>
    <row r="292" ht="15.75" customHeight="1" s="162">
      <c r="E292" s="45" t="n"/>
      <c r="F292" s="45" t="n"/>
    </row>
    <row r="293" ht="15.75" customHeight="1" s="162">
      <c r="E293" s="45" t="n"/>
      <c r="F293" s="45" t="n"/>
    </row>
    <row r="294" ht="15.75" customHeight="1" s="162">
      <c r="E294" s="45" t="n"/>
      <c r="F294" s="45" t="n"/>
    </row>
    <row r="295" ht="15.75" customHeight="1" s="162">
      <c r="E295" s="45" t="n"/>
      <c r="F295" s="45" t="n"/>
    </row>
    <row r="296" ht="15.75" customHeight="1" s="162">
      <c r="E296" s="45" t="n"/>
      <c r="F296" s="45" t="n"/>
    </row>
    <row r="297" ht="15.75" customHeight="1" s="162">
      <c r="E297" s="45" t="n"/>
      <c r="F297" s="45" t="n"/>
    </row>
    <row r="298" ht="15.75" customHeight="1" s="162">
      <c r="E298" s="45" t="n"/>
      <c r="F298" s="45" t="n"/>
    </row>
    <row r="299" ht="15.75" customHeight="1" s="162">
      <c r="E299" s="45" t="n"/>
      <c r="F299" s="45" t="n"/>
    </row>
    <row r="300" ht="15.75" customHeight="1" s="162">
      <c r="E300" s="45" t="n"/>
      <c r="F300" s="45" t="n"/>
    </row>
    <row r="301" ht="15.75" customHeight="1" s="162">
      <c r="E301" s="45" t="n"/>
      <c r="F301" s="45" t="n"/>
    </row>
    <row r="302" ht="15.75" customHeight="1" s="162">
      <c r="E302" s="45" t="n"/>
      <c r="F302" s="45" t="n"/>
    </row>
    <row r="303" ht="15.75" customHeight="1" s="162">
      <c r="E303" s="45" t="n"/>
      <c r="F303" s="45" t="n"/>
    </row>
    <row r="304" ht="15.75" customHeight="1" s="162">
      <c r="E304" s="45" t="n"/>
      <c r="F304" s="45" t="n"/>
    </row>
    <row r="305" ht="15.75" customHeight="1" s="162">
      <c r="E305" s="45" t="n"/>
      <c r="F305" s="45" t="n"/>
    </row>
    <row r="306" ht="15.75" customHeight="1" s="162">
      <c r="E306" s="45" t="n"/>
      <c r="F306" s="45" t="n"/>
    </row>
    <row r="307" ht="15.75" customHeight="1" s="162">
      <c r="E307" s="45" t="n"/>
      <c r="F307" s="45" t="n"/>
    </row>
    <row r="308" ht="15.75" customHeight="1" s="162">
      <c r="E308" s="45" t="n"/>
      <c r="F308" s="45" t="n"/>
    </row>
    <row r="309" ht="15.75" customHeight="1" s="162">
      <c r="E309" s="45" t="n"/>
      <c r="F309" s="45" t="n"/>
    </row>
    <row r="310" ht="15.75" customHeight="1" s="162">
      <c r="E310" s="45" t="n"/>
      <c r="F310" s="45" t="n"/>
    </row>
    <row r="311" ht="15.75" customHeight="1" s="162">
      <c r="E311" s="45" t="n"/>
      <c r="F311" s="45" t="n"/>
    </row>
    <row r="312" ht="15.75" customHeight="1" s="162">
      <c r="E312" s="45" t="n"/>
      <c r="F312" s="45" t="n"/>
    </row>
    <row r="313" ht="15.75" customHeight="1" s="162">
      <c r="E313" s="45" t="n"/>
      <c r="F313" s="45" t="n"/>
    </row>
    <row r="314" ht="15.75" customHeight="1" s="162">
      <c r="E314" s="45" t="n"/>
      <c r="F314" s="45" t="n"/>
    </row>
    <row r="315" ht="15.75" customHeight="1" s="162">
      <c r="E315" s="45" t="n"/>
      <c r="F315" s="45" t="n"/>
    </row>
    <row r="316" ht="15.75" customHeight="1" s="162">
      <c r="E316" s="45" t="n"/>
      <c r="F316" s="45" t="n"/>
    </row>
    <row r="317" ht="15.75" customHeight="1" s="162">
      <c r="E317" s="45" t="n"/>
      <c r="F317" s="45" t="n"/>
    </row>
    <row r="318" ht="15.75" customHeight="1" s="162">
      <c r="E318" s="45" t="n"/>
      <c r="F318" s="45" t="n"/>
    </row>
    <row r="319" ht="15.75" customHeight="1" s="162">
      <c r="E319" s="45" t="n"/>
      <c r="F319" s="45" t="n"/>
    </row>
    <row r="320" ht="15.75" customHeight="1" s="162">
      <c r="E320" s="45" t="n"/>
      <c r="F320" s="45" t="n"/>
    </row>
    <row r="321" ht="15.75" customHeight="1" s="162">
      <c r="E321" s="45" t="n"/>
      <c r="F321" s="45" t="n"/>
    </row>
    <row r="322" ht="15.75" customHeight="1" s="162">
      <c r="E322" s="45" t="n"/>
      <c r="F322" s="45" t="n"/>
    </row>
    <row r="323" ht="15.75" customHeight="1" s="162">
      <c r="E323" s="45" t="n"/>
      <c r="F323" s="45" t="n"/>
    </row>
    <row r="324" ht="15.75" customHeight="1" s="162">
      <c r="E324" s="45" t="n"/>
      <c r="F324" s="45" t="n"/>
    </row>
    <row r="325" ht="15.75" customHeight="1" s="162">
      <c r="E325" s="45" t="n"/>
      <c r="F325" s="45" t="n"/>
    </row>
    <row r="326" ht="15.75" customHeight="1" s="162">
      <c r="E326" s="45" t="n"/>
      <c r="F326" s="45" t="n"/>
    </row>
    <row r="327" ht="15.75" customHeight="1" s="162">
      <c r="E327" s="45" t="n"/>
      <c r="F327" s="45" t="n"/>
    </row>
    <row r="328" ht="15.75" customHeight="1" s="162">
      <c r="E328" s="45" t="n"/>
      <c r="F328" s="45" t="n"/>
    </row>
    <row r="329" ht="15.75" customHeight="1" s="162">
      <c r="E329" s="45" t="n"/>
      <c r="F329" s="45" t="n"/>
    </row>
    <row r="330" ht="15.75" customHeight="1" s="162">
      <c r="E330" s="45" t="n"/>
      <c r="F330" s="45" t="n"/>
    </row>
    <row r="331" ht="15.75" customHeight="1" s="162">
      <c r="E331" s="45" t="n"/>
      <c r="F331" s="45" t="n"/>
    </row>
    <row r="332" ht="15.75" customHeight="1" s="162">
      <c r="E332" s="45" t="n"/>
      <c r="F332" s="45" t="n"/>
    </row>
    <row r="333" ht="15.75" customHeight="1" s="162">
      <c r="E333" s="45" t="n"/>
      <c r="F333" s="45" t="n"/>
    </row>
    <row r="334" ht="15.75" customHeight="1" s="162">
      <c r="E334" s="45" t="n"/>
      <c r="F334" s="45" t="n"/>
    </row>
    <row r="335" ht="15.75" customHeight="1" s="162">
      <c r="E335" s="45" t="n"/>
      <c r="F335" s="45" t="n"/>
    </row>
    <row r="336" ht="15.75" customHeight="1" s="162">
      <c r="E336" s="45" t="n"/>
      <c r="F336" s="45" t="n"/>
    </row>
    <row r="337" ht="15.75" customHeight="1" s="162">
      <c r="E337" s="45" t="n"/>
      <c r="F337" s="45" t="n"/>
    </row>
    <row r="338" ht="15.75" customHeight="1" s="162">
      <c r="E338" s="45" t="n"/>
      <c r="F338" s="45" t="n"/>
    </row>
    <row r="339" ht="15.75" customHeight="1" s="162">
      <c r="E339" s="45" t="n"/>
      <c r="F339" s="45" t="n"/>
    </row>
    <row r="340" ht="15.75" customHeight="1" s="162">
      <c r="E340" s="45" t="n"/>
      <c r="F340" s="45" t="n"/>
    </row>
    <row r="341" ht="15.75" customHeight="1" s="162">
      <c r="E341" s="45" t="n"/>
      <c r="F341" s="45" t="n"/>
    </row>
    <row r="342" ht="15.75" customHeight="1" s="162">
      <c r="E342" s="45" t="n"/>
      <c r="F342" s="45" t="n"/>
    </row>
    <row r="343" ht="15.75" customHeight="1" s="162">
      <c r="E343" s="45" t="n"/>
      <c r="F343" s="45" t="n"/>
    </row>
    <row r="344" ht="15.75" customHeight="1" s="162">
      <c r="E344" s="45" t="n"/>
      <c r="F344" s="45" t="n"/>
    </row>
    <row r="345" ht="15.75" customHeight="1" s="162">
      <c r="E345" s="45" t="n"/>
      <c r="F345" s="45" t="n"/>
    </row>
    <row r="346" ht="15.75" customHeight="1" s="162">
      <c r="E346" s="45" t="n"/>
      <c r="F346" s="45" t="n"/>
    </row>
    <row r="347" ht="15.75" customHeight="1" s="162">
      <c r="E347" s="45" t="n"/>
      <c r="F347" s="45" t="n"/>
    </row>
    <row r="348" ht="15.75" customHeight="1" s="162">
      <c r="E348" s="45" t="n"/>
      <c r="F348" s="45" t="n"/>
    </row>
    <row r="349" ht="15.75" customHeight="1" s="162">
      <c r="E349" s="45" t="n"/>
      <c r="F349" s="45" t="n"/>
    </row>
    <row r="350" ht="15.75" customHeight="1" s="162">
      <c r="E350" s="45" t="n"/>
      <c r="F350" s="45" t="n"/>
    </row>
    <row r="351" ht="15.75" customHeight="1" s="162">
      <c r="E351" s="45" t="n"/>
      <c r="F351" s="45" t="n"/>
    </row>
    <row r="352" ht="15.75" customHeight="1" s="162">
      <c r="E352" s="45" t="n"/>
      <c r="F352" s="45" t="n"/>
    </row>
    <row r="353" ht="15.75" customHeight="1" s="162">
      <c r="E353" s="45" t="n"/>
      <c r="F353" s="45" t="n"/>
    </row>
    <row r="354" ht="15.75" customHeight="1" s="162">
      <c r="E354" s="45" t="n"/>
      <c r="F354" s="45" t="n"/>
    </row>
    <row r="355" ht="15.75" customHeight="1" s="162">
      <c r="E355" s="45" t="n"/>
      <c r="F355" s="45" t="n"/>
    </row>
    <row r="356" ht="15.75" customHeight="1" s="162">
      <c r="E356" s="45" t="n"/>
      <c r="F356" s="45" t="n"/>
    </row>
    <row r="357" ht="15.75" customHeight="1" s="162">
      <c r="E357" s="45" t="n"/>
      <c r="F357" s="45" t="n"/>
    </row>
    <row r="358" ht="15.75" customHeight="1" s="162">
      <c r="E358" s="45" t="n"/>
      <c r="F358" s="45" t="n"/>
    </row>
    <row r="359" ht="15.75" customHeight="1" s="162">
      <c r="E359" s="45" t="n"/>
      <c r="F359" s="45" t="n"/>
    </row>
    <row r="360" ht="15.75" customHeight="1" s="162">
      <c r="E360" s="45" t="n"/>
      <c r="F360" s="45" t="n"/>
    </row>
    <row r="361" ht="15.75" customHeight="1" s="162">
      <c r="E361" s="45" t="n"/>
      <c r="F361" s="45" t="n"/>
    </row>
    <row r="362" ht="15.75" customHeight="1" s="162">
      <c r="E362" s="45" t="n"/>
      <c r="F362" s="45" t="n"/>
    </row>
    <row r="363" ht="15.75" customHeight="1" s="162">
      <c r="E363" s="45" t="n"/>
      <c r="F363" s="45" t="n"/>
    </row>
    <row r="364" ht="15.75" customHeight="1" s="162">
      <c r="E364" s="45" t="n"/>
      <c r="F364" s="45" t="n"/>
    </row>
    <row r="365" ht="15.75" customHeight="1" s="162">
      <c r="E365" s="45" t="n"/>
      <c r="F365" s="45" t="n"/>
    </row>
    <row r="366" ht="15.75" customHeight="1" s="162">
      <c r="E366" s="45" t="n"/>
      <c r="F366" s="45" t="n"/>
    </row>
    <row r="367" ht="15.75" customHeight="1" s="162">
      <c r="E367" s="45" t="n"/>
      <c r="F367" s="45" t="n"/>
    </row>
    <row r="368" ht="15.75" customHeight="1" s="162">
      <c r="E368" s="45" t="n"/>
      <c r="F368" s="45" t="n"/>
    </row>
    <row r="369" ht="15.75" customHeight="1" s="162">
      <c r="E369" s="45" t="n"/>
      <c r="F369" s="45" t="n"/>
    </row>
    <row r="370" ht="15.75" customHeight="1" s="162">
      <c r="E370" s="45" t="n"/>
      <c r="F370" s="45" t="n"/>
    </row>
    <row r="371" ht="15.75" customHeight="1" s="162">
      <c r="E371" s="45" t="n"/>
      <c r="F371" s="45" t="n"/>
    </row>
    <row r="372" ht="15.75" customHeight="1" s="162">
      <c r="E372" s="45" t="n"/>
      <c r="F372" s="45" t="n"/>
    </row>
    <row r="373" ht="15.75" customHeight="1" s="162">
      <c r="E373" s="45" t="n"/>
      <c r="F373" s="45" t="n"/>
    </row>
    <row r="374" ht="15.75" customHeight="1" s="162">
      <c r="E374" s="45" t="n"/>
      <c r="F374" s="45" t="n"/>
    </row>
    <row r="375" ht="15.75" customHeight="1" s="162">
      <c r="E375" s="45" t="n"/>
      <c r="F375" s="45" t="n"/>
    </row>
    <row r="376" ht="15.75" customHeight="1" s="162">
      <c r="E376" s="45" t="n"/>
      <c r="F376" s="45" t="n"/>
    </row>
    <row r="377" ht="15.75" customHeight="1" s="162">
      <c r="E377" s="45" t="n"/>
      <c r="F377" s="45" t="n"/>
    </row>
    <row r="378" ht="15.75" customHeight="1" s="162">
      <c r="E378" s="45" t="n"/>
      <c r="F378" s="45" t="n"/>
    </row>
    <row r="379" ht="15.75" customHeight="1" s="162">
      <c r="E379" s="45" t="n"/>
      <c r="F379" s="45" t="n"/>
    </row>
    <row r="380" ht="15.75" customHeight="1" s="162">
      <c r="E380" s="45" t="n"/>
      <c r="F380" s="45" t="n"/>
    </row>
    <row r="381" ht="15.75" customHeight="1" s="162">
      <c r="E381" s="45" t="n"/>
      <c r="F381" s="45" t="n"/>
    </row>
    <row r="382" ht="15.75" customHeight="1" s="162">
      <c r="E382" s="45" t="n"/>
      <c r="F382" s="45" t="n"/>
    </row>
    <row r="383" ht="15.75" customHeight="1" s="162">
      <c r="E383" s="45" t="n"/>
      <c r="F383" s="45" t="n"/>
    </row>
    <row r="384" ht="15.75" customHeight="1" s="162">
      <c r="E384" s="45" t="n"/>
      <c r="F384" s="45" t="n"/>
    </row>
    <row r="385" ht="15.75" customHeight="1" s="162">
      <c r="E385" s="45" t="n"/>
      <c r="F385" s="45" t="n"/>
    </row>
    <row r="386" ht="15.75" customHeight="1" s="162">
      <c r="E386" s="45" t="n"/>
      <c r="F386" s="45" t="n"/>
    </row>
    <row r="387" ht="15.75" customHeight="1" s="162">
      <c r="E387" s="45" t="n"/>
      <c r="F387" s="45" t="n"/>
    </row>
    <row r="388" ht="15.75" customHeight="1" s="162">
      <c r="E388" s="45" t="n"/>
      <c r="F388" s="45" t="n"/>
    </row>
    <row r="389" ht="15.75" customHeight="1" s="162">
      <c r="E389" s="45" t="n"/>
      <c r="F389" s="45" t="n"/>
    </row>
    <row r="390" ht="15.75" customHeight="1" s="162">
      <c r="E390" s="45" t="n"/>
      <c r="F390" s="45" t="n"/>
    </row>
    <row r="391" ht="15.75" customHeight="1" s="162">
      <c r="E391" s="45" t="n"/>
      <c r="F391" s="45" t="n"/>
    </row>
    <row r="392" ht="15.75" customHeight="1" s="162">
      <c r="E392" s="45" t="n"/>
      <c r="F392" s="45" t="n"/>
    </row>
    <row r="393" ht="15.75" customHeight="1" s="162">
      <c r="E393" s="45" t="n"/>
      <c r="F393" s="45" t="n"/>
    </row>
    <row r="394" ht="15.75" customHeight="1" s="162">
      <c r="E394" s="45" t="n"/>
      <c r="F394" s="45" t="n"/>
    </row>
    <row r="395" ht="15.75" customHeight="1" s="162">
      <c r="E395" s="45" t="n"/>
      <c r="F395" s="45" t="n"/>
    </row>
    <row r="396" ht="15.75" customHeight="1" s="162">
      <c r="E396" s="45" t="n"/>
      <c r="F396" s="45" t="n"/>
    </row>
    <row r="397" ht="15.75" customHeight="1" s="162">
      <c r="E397" s="45" t="n"/>
      <c r="F397" s="45" t="n"/>
    </row>
    <row r="398" ht="15.75" customHeight="1" s="162">
      <c r="E398" s="45" t="n"/>
      <c r="F398" s="45" t="n"/>
    </row>
    <row r="399" ht="15.75" customHeight="1" s="162">
      <c r="E399" s="45" t="n"/>
      <c r="F399" s="45" t="n"/>
    </row>
    <row r="400" ht="15.75" customHeight="1" s="162">
      <c r="E400" s="45" t="n"/>
      <c r="F400" s="45" t="n"/>
    </row>
    <row r="401" ht="15.75" customHeight="1" s="162">
      <c r="E401" s="45" t="n"/>
      <c r="F401" s="45" t="n"/>
    </row>
    <row r="402" ht="15.75" customHeight="1" s="162">
      <c r="E402" s="45" t="n"/>
      <c r="F402" s="45" t="n"/>
    </row>
    <row r="403" ht="15.75" customHeight="1" s="162">
      <c r="E403" s="45" t="n"/>
      <c r="F403" s="45" t="n"/>
    </row>
    <row r="404" ht="15.75" customHeight="1" s="162">
      <c r="E404" s="45" t="n"/>
      <c r="F404" s="45" t="n"/>
    </row>
    <row r="405" ht="15.75" customHeight="1" s="162">
      <c r="E405" s="45" t="n"/>
      <c r="F405" s="45" t="n"/>
    </row>
    <row r="406" ht="15.75" customHeight="1" s="162">
      <c r="E406" s="45" t="n"/>
      <c r="F406" s="45" t="n"/>
    </row>
    <row r="407" ht="15.75" customHeight="1" s="162">
      <c r="E407" s="45" t="n"/>
      <c r="F407" s="45" t="n"/>
    </row>
    <row r="408" ht="15.75" customHeight="1" s="162">
      <c r="E408" s="45" t="n"/>
      <c r="F408" s="45" t="n"/>
    </row>
    <row r="409" ht="15.75" customHeight="1" s="162">
      <c r="E409" s="45" t="n"/>
      <c r="F409" s="45" t="n"/>
    </row>
    <row r="410" ht="15.75" customHeight="1" s="162">
      <c r="E410" s="45" t="n"/>
      <c r="F410" s="45" t="n"/>
    </row>
    <row r="411" ht="15.75" customHeight="1" s="162">
      <c r="E411" s="45" t="n"/>
      <c r="F411" s="45" t="n"/>
    </row>
    <row r="412" ht="15.75" customHeight="1" s="162">
      <c r="E412" s="45" t="n"/>
      <c r="F412" s="45" t="n"/>
    </row>
    <row r="413" ht="15.75" customHeight="1" s="162">
      <c r="E413" s="45" t="n"/>
      <c r="F413" s="45" t="n"/>
    </row>
    <row r="414" ht="15.75" customHeight="1" s="162">
      <c r="E414" s="45" t="n"/>
      <c r="F414" s="45" t="n"/>
    </row>
    <row r="415" ht="15.75" customHeight="1" s="162">
      <c r="E415" s="45" t="n"/>
      <c r="F415" s="45" t="n"/>
    </row>
    <row r="416" ht="15.75" customHeight="1" s="162">
      <c r="E416" s="45" t="n"/>
      <c r="F416" s="45" t="n"/>
    </row>
    <row r="417" ht="15.75" customHeight="1" s="162">
      <c r="E417" s="45" t="n"/>
      <c r="F417" s="45" t="n"/>
    </row>
    <row r="418" ht="15.75" customHeight="1" s="162">
      <c r="E418" s="45" t="n"/>
      <c r="F418" s="45" t="n"/>
    </row>
    <row r="419" ht="15.75" customHeight="1" s="162">
      <c r="E419" s="45" t="n"/>
      <c r="F419" s="45" t="n"/>
    </row>
    <row r="420" ht="15.75" customHeight="1" s="162">
      <c r="E420" s="45" t="n"/>
      <c r="F420" s="45" t="n"/>
    </row>
    <row r="421" ht="15.75" customHeight="1" s="162">
      <c r="E421" s="45" t="n"/>
      <c r="F421" s="45" t="n"/>
    </row>
    <row r="422" ht="15.75" customHeight="1" s="162">
      <c r="E422" s="45" t="n"/>
      <c r="F422" s="45" t="n"/>
    </row>
    <row r="423" ht="15.75" customHeight="1" s="162">
      <c r="E423" s="45" t="n"/>
      <c r="F423" s="45" t="n"/>
    </row>
    <row r="424" ht="15.75" customHeight="1" s="162">
      <c r="E424" s="45" t="n"/>
      <c r="F424" s="45" t="n"/>
    </row>
    <row r="425" ht="15.75" customHeight="1" s="162">
      <c r="E425" s="45" t="n"/>
      <c r="F425" s="45" t="n"/>
    </row>
    <row r="426" ht="15.75" customHeight="1" s="162">
      <c r="E426" s="45" t="n"/>
      <c r="F426" s="45" t="n"/>
    </row>
    <row r="427" ht="15.75" customHeight="1" s="162">
      <c r="E427" s="45" t="n"/>
      <c r="F427" s="45" t="n"/>
    </row>
    <row r="428" ht="15.75" customHeight="1" s="162">
      <c r="E428" s="45" t="n"/>
      <c r="F428" s="45" t="n"/>
    </row>
    <row r="429" ht="15.75" customHeight="1" s="162">
      <c r="E429" s="45" t="n"/>
      <c r="F429" s="45" t="n"/>
    </row>
    <row r="430" ht="15.75" customHeight="1" s="162">
      <c r="E430" s="45" t="n"/>
      <c r="F430" s="45" t="n"/>
    </row>
    <row r="431" ht="15.75" customHeight="1" s="162">
      <c r="E431" s="45" t="n"/>
      <c r="F431" s="45" t="n"/>
    </row>
    <row r="432" ht="15.75" customHeight="1" s="162">
      <c r="E432" s="45" t="n"/>
      <c r="F432" s="45" t="n"/>
    </row>
    <row r="433" ht="15.75" customHeight="1" s="162">
      <c r="E433" s="45" t="n"/>
      <c r="F433" s="45" t="n"/>
    </row>
    <row r="434" ht="15.75" customHeight="1" s="162">
      <c r="E434" s="45" t="n"/>
      <c r="F434" s="45" t="n"/>
    </row>
    <row r="435" ht="15.75" customHeight="1" s="162">
      <c r="E435" s="45" t="n"/>
      <c r="F435" s="45" t="n"/>
    </row>
    <row r="436" ht="15.75" customHeight="1" s="162">
      <c r="E436" s="45" t="n"/>
      <c r="F436" s="45" t="n"/>
    </row>
    <row r="437" ht="15.75" customHeight="1" s="162">
      <c r="E437" s="45" t="n"/>
      <c r="F437" s="45" t="n"/>
    </row>
    <row r="438" ht="15.75" customHeight="1" s="162">
      <c r="E438" s="45" t="n"/>
      <c r="F438" s="45" t="n"/>
    </row>
    <row r="439" ht="15.75" customHeight="1" s="162">
      <c r="E439" s="45" t="n"/>
      <c r="F439" s="45" t="n"/>
    </row>
    <row r="440" ht="15.75" customHeight="1" s="162">
      <c r="E440" s="45" t="n"/>
      <c r="F440" s="45" t="n"/>
    </row>
    <row r="441" ht="15.75" customHeight="1" s="162">
      <c r="E441" s="45" t="n"/>
      <c r="F441" s="45" t="n"/>
    </row>
    <row r="442" ht="15.75" customHeight="1" s="162">
      <c r="E442" s="45" t="n"/>
      <c r="F442" s="45" t="n"/>
    </row>
    <row r="443" ht="15.75" customHeight="1" s="162">
      <c r="E443" s="45" t="n"/>
      <c r="F443" s="45" t="n"/>
    </row>
    <row r="444" ht="15.75" customHeight="1" s="162">
      <c r="E444" s="45" t="n"/>
      <c r="F444" s="45" t="n"/>
    </row>
    <row r="445" ht="15.75" customHeight="1" s="162">
      <c r="E445" s="45" t="n"/>
      <c r="F445" s="45" t="n"/>
    </row>
    <row r="446" ht="15.75" customHeight="1" s="162">
      <c r="E446" s="45" t="n"/>
      <c r="F446" s="45" t="n"/>
    </row>
    <row r="447" ht="15.75" customHeight="1" s="162">
      <c r="E447" s="45" t="n"/>
      <c r="F447" s="45" t="n"/>
    </row>
    <row r="448" ht="15.75" customHeight="1" s="162">
      <c r="E448" s="45" t="n"/>
      <c r="F448" s="45" t="n"/>
    </row>
    <row r="449" ht="15.75" customHeight="1" s="162">
      <c r="E449" s="45" t="n"/>
      <c r="F449" s="45" t="n"/>
    </row>
    <row r="450" ht="15.75" customHeight="1" s="162">
      <c r="E450" s="45" t="n"/>
      <c r="F450" s="45" t="n"/>
    </row>
    <row r="451" ht="15.75" customHeight="1" s="162">
      <c r="E451" s="45" t="n"/>
      <c r="F451" s="45" t="n"/>
    </row>
    <row r="452" ht="15.75" customHeight="1" s="162">
      <c r="E452" s="45" t="n"/>
      <c r="F452" s="45" t="n"/>
    </row>
    <row r="453" ht="15.75" customHeight="1" s="162">
      <c r="E453" s="45" t="n"/>
      <c r="F453" s="45" t="n"/>
    </row>
    <row r="454" ht="15.75" customHeight="1" s="162">
      <c r="E454" s="45" t="n"/>
      <c r="F454" s="45" t="n"/>
    </row>
    <row r="455" ht="15.75" customHeight="1" s="162">
      <c r="E455" s="45" t="n"/>
      <c r="F455" s="45" t="n"/>
    </row>
    <row r="456" ht="15.75" customHeight="1" s="162">
      <c r="E456" s="45" t="n"/>
      <c r="F456" s="45" t="n"/>
    </row>
    <row r="457" ht="15.75" customHeight="1" s="162">
      <c r="E457" s="45" t="n"/>
      <c r="F457" s="45" t="n"/>
    </row>
    <row r="458" ht="15.75" customHeight="1" s="162">
      <c r="E458" s="45" t="n"/>
      <c r="F458" s="45" t="n"/>
    </row>
    <row r="459" ht="15.75" customHeight="1" s="162">
      <c r="E459" s="45" t="n"/>
      <c r="F459" s="45" t="n"/>
    </row>
    <row r="460" ht="15.75" customHeight="1" s="162">
      <c r="E460" s="45" t="n"/>
      <c r="F460" s="45" t="n"/>
    </row>
    <row r="461" ht="15.75" customHeight="1" s="162">
      <c r="E461" s="45" t="n"/>
      <c r="F461" s="45" t="n"/>
    </row>
    <row r="462" ht="15.75" customHeight="1" s="162">
      <c r="E462" s="45" t="n"/>
      <c r="F462" s="45" t="n"/>
    </row>
    <row r="463" ht="15.75" customHeight="1" s="162">
      <c r="E463" s="45" t="n"/>
      <c r="F463" s="45" t="n"/>
    </row>
    <row r="464" ht="15.75" customHeight="1" s="162">
      <c r="E464" s="45" t="n"/>
      <c r="F464" s="45" t="n"/>
    </row>
    <row r="465" ht="15.75" customHeight="1" s="162">
      <c r="E465" s="45" t="n"/>
      <c r="F465" s="45" t="n"/>
    </row>
    <row r="466" ht="15.75" customHeight="1" s="162">
      <c r="E466" s="45" t="n"/>
      <c r="F466" s="45" t="n"/>
    </row>
    <row r="467" ht="15.75" customHeight="1" s="162">
      <c r="E467" s="45" t="n"/>
      <c r="F467" s="45" t="n"/>
    </row>
    <row r="468" ht="15.75" customHeight="1" s="162">
      <c r="E468" s="45" t="n"/>
      <c r="F468" s="45" t="n"/>
    </row>
    <row r="469" ht="15.75" customHeight="1" s="162">
      <c r="E469" s="45" t="n"/>
      <c r="F469" s="45" t="n"/>
    </row>
    <row r="470" ht="15.75" customHeight="1" s="162">
      <c r="E470" s="45" t="n"/>
      <c r="F470" s="45" t="n"/>
    </row>
    <row r="471" ht="15.75" customHeight="1" s="162">
      <c r="E471" s="45" t="n"/>
      <c r="F471" s="45" t="n"/>
    </row>
    <row r="472" ht="15.75" customHeight="1" s="162">
      <c r="E472" s="45" t="n"/>
      <c r="F472" s="45" t="n"/>
    </row>
    <row r="473" ht="15.75" customHeight="1" s="162">
      <c r="E473" s="45" t="n"/>
      <c r="F473" s="45" t="n"/>
    </row>
    <row r="474" ht="15.75" customHeight="1" s="162">
      <c r="E474" s="45" t="n"/>
      <c r="F474" s="45" t="n"/>
    </row>
    <row r="475" ht="15.75" customHeight="1" s="162">
      <c r="E475" s="45" t="n"/>
      <c r="F475" s="45" t="n"/>
    </row>
    <row r="476" ht="15.75" customHeight="1" s="162">
      <c r="E476" s="45" t="n"/>
      <c r="F476" s="45" t="n"/>
    </row>
    <row r="477" ht="15.75" customHeight="1" s="162">
      <c r="E477" s="45" t="n"/>
      <c r="F477" s="45" t="n"/>
    </row>
    <row r="478" ht="15.75" customHeight="1" s="162">
      <c r="E478" s="45" t="n"/>
      <c r="F478" s="45" t="n"/>
    </row>
    <row r="479" ht="15.75" customHeight="1" s="162">
      <c r="E479" s="45" t="n"/>
      <c r="F479" s="45" t="n"/>
    </row>
    <row r="480" ht="15.75" customHeight="1" s="162">
      <c r="E480" s="45" t="n"/>
      <c r="F480" s="45" t="n"/>
    </row>
    <row r="481" ht="15.75" customHeight="1" s="162">
      <c r="E481" s="45" t="n"/>
      <c r="F481" s="45" t="n"/>
    </row>
    <row r="482" ht="15.75" customHeight="1" s="162">
      <c r="E482" s="45" t="n"/>
      <c r="F482" s="45" t="n"/>
    </row>
    <row r="483" ht="15.75" customHeight="1" s="162">
      <c r="E483" s="45" t="n"/>
      <c r="F483" s="45" t="n"/>
    </row>
    <row r="484" ht="15.75" customHeight="1" s="162">
      <c r="E484" s="45" t="n"/>
      <c r="F484" s="45" t="n"/>
    </row>
    <row r="485" ht="15.75" customHeight="1" s="162">
      <c r="E485" s="45" t="n"/>
      <c r="F485" s="45" t="n"/>
    </row>
    <row r="486" ht="15.75" customHeight="1" s="162">
      <c r="E486" s="45" t="n"/>
      <c r="F486" s="45" t="n"/>
    </row>
    <row r="487" ht="15.75" customHeight="1" s="162">
      <c r="E487" s="45" t="n"/>
      <c r="F487" s="45" t="n"/>
    </row>
    <row r="488" ht="15.75" customHeight="1" s="162">
      <c r="E488" s="45" t="n"/>
      <c r="F488" s="45" t="n"/>
    </row>
    <row r="489" ht="15.75" customHeight="1" s="162">
      <c r="E489" s="45" t="n"/>
      <c r="F489" s="45" t="n"/>
    </row>
    <row r="490" ht="15.75" customHeight="1" s="162">
      <c r="E490" s="45" t="n"/>
      <c r="F490" s="45" t="n"/>
    </row>
    <row r="491" ht="15.75" customHeight="1" s="162">
      <c r="E491" s="45" t="n"/>
      <c r="F491" s="45" t="n"/>
    </row>
    <row r="492" ht="15.75" customHeight="1" s="162">
      <c r="E492" s="45" t="n"/>
      <c r="F492" s="45" t="n"/>
    </row>
    <row r="493" ht="15.75" customHeight="1" s="162">
      <c r="E493" s="45" t="n"/>
      <c r="F493" s="45" t="n"/>
    </row>
    <row r="494" ht="15.75" customHeight="1" s="162">
      <c r="E494" s="45" t="n"/>
      <c r="F494" s="45" t="n"/>
    </row>
    <row r="495" ht="15.75" customHeight="1" s="162">
      <c r="E495" s="45" t="n"/>
      <c r="F495" s="45" t="n"/>
    </row>
    <row r="496" ht="15.75" customHeight="1" s="162">
      <c r="E496" s="45" t="n"/>
      <c r="F496" s="45" t="n"/>
    </row>
    <row r="497" ht="15.75" customHeight="1" s="162">
      <c r="E497" s="45" t="n"/>
      <c r="F497" s="45" t="n"/>
    </row>
    <row r="498" ht="15.75" customHeight="1" s="162">
      <c r="E498" s="45" t="n"/>
      <c r="F498" s="45" t="n"/>
    </row>
    <row r="499" ht="15.75" customHeight="1" s="162">
      <c r="E499" s="45" t="n"/>
      <c r="F499" s="45" t="n"/>
    </row>
    <row r="500" ht="15.75" customHeight="1" s="162">
      <c r="E500" s="45" t="n"/>
      <c r="F500" s="45" t="n"/>
    </row>
    <row r="501" ht="15.75" customHeight="1" s="162">
      <c r="E501" s="45" t="n"/>
      <c r="F501" s="45" t="n"/>
    </row>
    <row r="502" ht="15.75" customHeight="1" s="162">
      <c r="E502" s="45" t="n"/>
      <c r="F502" s="45" t="n"/>
    </row>
    <row r="503" ht="15.75" customHeight="1" s="162">
      <c r="E503" s="45" t="n"/>
      <c r="F503" s="45" t="n"/>
    </row>
    <row r="504" ht="15.75" customHeight="1" s="162">
      <c r="E504" s="45" t="n"/>
      <c r="F504" s="45" t="n"/>
    </row>
    <row r="505" ht="15.75" customHeight="1" s="162">
      <c r="E505" s="45" t="n"/>
      <c r="F505" s="45" t="n"/>
    </row>
    <row r="506" ht="15.75" customHeight="1" s="162">
      <c r="E506" s="45" t="n"/>
      <c r="F506" s="45" t="n"/>
    </row>
    <row r="507" ht="15.75" customHeight="1" s="162">
      <c r="E507" s="45" t="n"/>
      <c r="F507" s="45" t="n"/>
    </row>
    <row r="508" ht="15.75" customHeight="1" s="162">
      <c r="E508" s="45" t="n"/>
      <c r="F508" s="45" t="n"/>
    </row>
    <row r="509" ht="15.75" customHeight="1" s="162">
      <c r="E509" s="45" t="n"/>
      <c r="F509" s="45" t="n"/>
    </row>
    <row r="510" ht="15.75" customHeight="1" s="162">
      <c r="E510" s="45" t="n"/>
      <c r="F510" s="45" t="n"/>
    </row>
    <row r="511" ht="15.75" customHeight="1" s="162">
      <c r="E511" s="45" t="n"/>
      <c r="F511" s="45" t="n"/>
    </row>
    <row r="512" ht="15.75" customHeight="1" s="162">
      <c r="E512" s="45" t="n"/>
      <c r="F512" s="45" t="n"/>
    </row>
    <row r="513" ht="15.75" customHeight="1" s="162">
      <c r="E513" s="45" t="n"/>
      <c r="F513" s="45" t="n"/>
    </row>
    <row r="514" ht="15.75" customHeight="1" s="162">
      <c r="E514" s="45" t="n"/>
      <c r="F514" s="45" t="n"/>
    </row>
    <row r="515" ht="15.75" customHeight="1" s="162">
      <c r="E515" s="45" t="n"/>
      <c r="F515" s="45" t="n"/>
    </row>
    <row r="516" ht="15.75" customHeight="1" s="162">
      <c r="E516" s="45" t="n"/>
      <c r="F516" s="45" t="n"/>
    </row>
    <row r="517" ht="15.75" customHeight="1" s="162">
      <c r="E517" s="45" t="n"/>
      <c r="F517" s="45" t="n"/>
    </row>
    <row r="518" ht="15.75" customHeight="1" s="162">
      <c r="E518" s="45" t="n"/>
      <c r="F518" s="45" t="n"/>
    </row>
    <row r="519" ht="15.75" customHeight="1" s="162">
      <c r="E519" s="45" t="n"/>
      <c r="F519" s="45" t="n"/>
    </row>
    <row r="520" ht="15.75" customHeight="1" s="162">
      <c r="E520" s="45" t="n"/>
      <c r="F520" s="45" t="n"/>
    </row>
    <row r="521" ht="15.75" customHeight="1" s="162">
      <c r="E521" s="45" t="n"/>
      <c r="F521" s="45" t="n"/>
    </row>
    <row r="522" ht="15.75" customHeight="1" s="162">
      <c r="E522" s="45" t="n"/>
      <c r="F522" s="45" t="n"/>
    </row>
    <row r="523" ht="15.75" customHeight="1" s="162">
      <c r="E523" s="45" t="n"/>
      <c r="F523" s="45" t="n"/>
    </row>
    <row r="524" ht="15.75" customHeight="1" s="162">
      <c r="E524" s="45" t="n"/>
      <c r="F524" s="45" t="n"/>
    </row>
    <row r="525" ht="15.75" customHeight="1" s="162">
      <c r="E525" s="45" t="n"/>
      <c r="F525" s="45" t="n"/>
    </row>
    <row r="526" ht="15.75" customHeight="1" s="162">
      <c r="E526" s="45" t="n"/>
      <c r="F526" s="45" t="n"/>
    </row>
    <row r="527" ht="15.75" customHeight="1" s="162">
      <c r="E527" s="45" t="n"/>
      <c r="F527" s="45" t="n"/>
    </row>
    <row r="528" ht="15.75" customHeight="1" s="162">
      <c r="E528" s="45" t="n"/>
      <c r="F528" s="45" t="n"/>
    </row>
    <row r="529" ht="15.75" customHeight="1" s="162">
      <c r="E529" s="45" t="n"/>
      <c r="F529" s="45" t="n"/>
    </row>
    <row r="530" ht="15.75" customHeight="1" s="162">
      <c r="E530" s="45" t="n"/>
      <c r="F530" s="45" t="n"/>
    </row>
    <row r="531" ht="15.75" customHeight="1" s="162">
      <c r="E531" s="45" t="n"/>
      <c r="F531" s="45" t="n"/>
    </row>
    <row r="532" ht="15.75" customHeight="1" s="162">
      <c r="E532" s="45" t="n"/>
      <c r="F532" s="45" t="n"/>
    </row>
    <row r="533" ht="15.75" customHeight="1" s="162">
      <c r="E533" s="45" t="n"/>
      <c r="F533" s="45" t="n"/>
    </row>
    <row r="534" ht="15.75" customHeight="1" s="162">
      <c r="E534" s="45" t="n"/>
      <c r="F534" s="45" t="n"/>
    </row>
    <row r="535" ht="15.75" customHeight="1" s="162">
      <c r="E535" s="45" t="n"/>
      <c r="F535" s="45" t="n"/>
    </row>
    <row r="536" ht="15.75" customHeight="1" s="162">
      <c r="E536" s="45" t="n"/>
      <c r="F536" s="45" t="n"/>
    </row>
    <row r="537" ht="15.75" customHeight="1" s="162">
      <c r="E537" s="45" t="n"/>
      <c r="F537" s="45" t="n"/>
    </row>
    <row r="538" ht="15.75" customHeight="1" s="162">
      <c r="E538" s="45" t="n"/>
      <c r="F538" s="45" t="n"/>
    </row>
    <row r="539" ht="15.75" customHeight="1" s="162">
      <c r="E539" s="45" t="n"/>
      <c r="F539" s="45" t="n"/>
    </row>
    <row r="540" ht="15.75" customHeight="1" s="162">
      <c r="E540" s="45" t="n"/>
      <c r="F540" s="45" t="n"/>
    </row>
    <row r="541" ht="15.75" customHeight="1" s="162">
      <c r="E541" s="45" t="n"/>
      <c r="F541" s="45" t="n"/>
    </row>
    <row r="542" ht="15.75" customHeight="1" s="162">
      <c r="E542" s="45" t="n"/>
      <c r="F542" s="45" t="n"/>
    </row>
    <row r="543" ht="15.75" customHeight="1" s="162">
      <c r="E543" s="45" t="n"/>
      <c r="F543" s="45" t="n"/>
    </row>
    <row r="544" ht="15.75" customHeight="1" s="162">
      <c r="E544" s="45" t="n"/>
      <c r="F544" s="45" t="n"/>
    </row>
    <row r="545" ht="15.75" customHeight="1" s="162">
      <c r="E545" s="45" t="n"/>
      <c r="F545" s="45" t="n"/>
    </row>
    <row r="546" ht="15.75" customHeight="1" s="162">
      <c r="E546" s="45" t="n"/>
      <c r="F546" s="45" t="n"/>
    </row>
    <row r="547" ht="15.75" customHeight="1" s="162">
      <c r="E547" s="45" t="n"/>
      <c r="F547" s="45" t="n"/>
    </row>
    <row r="548" ht="15.75" customHeight="1" s="162">
      <c r="E548" s="45" t="n"/>
      <c r="F548" s="45" t="n"/>
    </row>
    <row r="549" ht="15.75" customHeight="1" s="162">
      <c r="E549" s="45" t="n"/>
      <c r="F549" s="45" t="n"/>
    </row>
    <row r="550" ht="15.75" customHeight="1" s="162">
      <c r="E550" s="45" t="n"/>
      <c r="F550" s="45" t="n"/>
    </row>
    <row r="551" ht="15.75" customHeight="1" s="162">
      <c r="E551" s="45" t="n"/>
      <c r="F551" s="45" t="n"/>
    </row>
    <row r="552" ht="15.75" customHeight="1" s="162">
      <c r="E552" s="45" t="n"/>
      <c r="F552" s="45" t="n"/>
    </row>
    <row r="553" ht="15.75" customHeight="1" s="162">
      <c r="E553" s="45" t="n"/>
      <c r="F553" s="45" t="n"/>
    </row>
    <row r="554" ht="15.75" customHeight="1" s="162">
      <c r="E554" s="45" t="n"/>
      <c r="F554" s="45" t="n"/>
    </row>
    <row r="555" ht="15.75" customHeight="1" s="162">
      <c r="E555" s="45" t="n"/>
      <c r="F555" s="45" t="n"/>
    </row>
    <row r="556" ht="15.75" customHeight="1" s="162">
      <c r="E556" s="45" t="n"/>
      <c r="F556" s="45" t="n"/>
    </row>
    <row r="557" ht="15.75" customHeight="1" s="162">
      <c r="E557" s="45" t="n"/>
      <c r="F557" s="45" t="n"/>
    </row>
    <row r="558" ht="15.75" customHeight="1" s="162">
      <c r="E558" s="45" t="n"/>
      <c r="F558" s="45" t="n"/>
    </row>
    <row r="559" ht="15.75" customHeight="1" s="162">
      <c r="E559" s="45" t="n"/>
      <c r="F559" s="45" t="n"/>
    </row>
    <row r="560" ht="15.75" customHeight="1" s="162">
      <c r="E560" s="45" t="n"/>
      <c r="F560" s="45" t="n"/>
    </row>
    <row r="561" ht="15.75" customHeight="1" s="162">
      <c r="E561" s="45" t="n"/>
      <c r="F561" s="45" t="n"/>
    </row>
    <row r="562" ht="15.75" customHeight="1" s="162">
      <c r="E562" s="45" t="n"/>
      <c r="F562" s="45" t="n"/>
    </row>
    <row r="563" ht="15.75" customHeight="1" s="162">
      <c r="E563" s="45" t="n"/>
      <c r="F563" s="45" t="n"/>
    </row>
    <row r="564" ht="15.75" customHeight="1" s="162">
      <c r="E564" s="45" t="n"/>
      <c r="F564" s="45" t="n"/>
    </row>
    <row r="565" ht="15.75" customHeight="1" s="162">
      <c r="E565" s="45" t="n"/>
      <c r="F565" s="45" t="n"/>
    </row>
    <row r="566" ht="15.75" customHeight="1" s="162">
      <c r="E566" s="45" t="n"/>
      <c r="F566" s="45" t="n"/>
    </row>
    <row r="567" ht="15.75" customHeight="1" s="162">
      <c r="E567" s="45" t="n"/>
      <c r="F567" s="45" t="n"/>
    </row>
    <row r="568" ht="15.75" customHeight="1" s="162">
      <c r="E568" s="45" t="n"/>
      <c r="F568" s="45" t="n"/>
    </row>
    <row r="569" ht="15.75" customHeight="1" s="162">
      <c r="E569" s="45" t="n"/>
      <c r="F569" s="45" t="n"/>
    </row>
    <row r="570" ht="15.75" customHeight="1" s="162">
      <c r="E570" s="45" t="n"/>
      <c r="F570" s="45" t="n"/>
    </row>
    <row r="571" ht="15.75" customHeight="1" s="162">
      <c r="E571" s="45" t="n"/>
      <c r="F571" s="45" t="n"/>
    </row>
    <row r="572" ht="15.75" customHeight="1" s="162">
      <c r="E572" s="45" t="n"/>
      <c r="F572" s="45" t="n"/>
    </row>
    <row r="573" ht="15.75" customHeight="1" s="162">
      <c r="E573" s="45" t="n"/>
      <c r="F573" s="45" t="n"/>
    </row>
    <row r="574" ht="15.75" customHeight="1" s="162">
      <c r="E574" s="45" t="n"/>
      <c r="F574" s="45" t="n"/>
    </row>
    <row r="575" ht="15.75" customHeight="1" s="162">
      <c r="E575" s="45" t="n"/>
      <c r="F575" s="45" t="n"/>
    </row>
    <row r="576" ht="15.75" customHeight="1" s="162">
      <c r="E576" s="45" t="n"/>
      <c r="F576" s="45" t="n"/>
    </row>
    <row r="577" ht="15.75" customHeight="1" s="162">
      <c r="E577" s="45" t="n"/>
      <c r="F577" s="45" t="n"/>
    </row>
    <row r="578" ht="15.75" customHeight="1" s="162">
      <c r="E578" s="45" t="n"/>
      <c r="F578" s="45" t="n"/>
    </row>
    <row r="579" ht="15.75" customHeight="1" s="162">
      <c r="E579" s="45" t="n"/>
      <c r="F579" s="45" t="n"/>
    </row>
    <row r="580" ht="15.75" customHeight="1" s="162">
      <c r="E580" s="45" t="n"/>
      <c r="F580" s="45" t="n"/>
    </row>
    <row r="581" ht="15.75" customHeight="1" s="162">
      <c r="E581" s="45" t="n"/>
      <c r="F581" s="45" t="n"/>
    </row>
    <row r="582" ht="15.75" customHeight="1" s="162">
      <c r="E582" s="45" t="n"/>
      <c r="F582" s="45" t="n"/>
    </row>
    <row r="583" ht="15.75" customHeight="1" s="162">
      <c r="E583" s="45" t="n"/>
      <c r="F583" s="45" t="n"/>
    </row>
    <row r="584" ht="15.75" customHeight="1" s="162">
      <c r="E584" s="45" t="n"/>
      <c r="F584" s="45" t="n"/>
    </row>
    <row r="585" ht="15.75" customHeight="1" s="162">
      <c r="E585" s="45" t="n"/>
      <c r="F585" s="45" t="n"/>
    </row>
    <row r="586" ht="15.75" customHeight="1" s="162">
      <c r="E586" s="45" t="n"/>
      <c r="F586" s="45" t="n"/>
    </row>
    <row r="587" ht="15.75" customHeight="1" s="162">
      <c r="E587" s="45" t="n"/>
      <c r="F587" s="45" t="n"/>
    </row>
    <row r="588" ht="15.75" customHeight="1" s="162">
      <c r="E588" s="45" t="n"/>
      <c r="F588" s="45" t="n"/>
    </row>
    <row r="589" ht="15.75" customHeight="1" s="162">
      <c r="E589" s="45" t="n"/>
      <c r="F589" s="45" t="n"/>
    </row>
    <row r="590" ht="15.75" customHeight="1" s="162">
      <c r="E590" s="45" t="n"/>
      <c r="F590" s="45" t="n"/>
    </row>
    <row r="591" ht="15.75" customHeight="1" s="162">
      <c r="E591" s="45" t="n"/>
      <c r="F591" s="45" t="n"/>
    </row>
    <row r="592" ht="15.75" customHeight="1" s="162">
      <c r="E592" s="45" t="n"/>
      <c r="F592" s="45" t="n"/>
    </row>
    <row r="593" ht="15.75" customHeight="1" s="162">
      <c r="E593" s="45" t="n"/>
      <c r="F593" s="45" t="n"/>
    </row>
    <row r="594" ht="15.75" customHeight="1" s="162">
      <c r="E594" s="45" t="n"/>
      <c r="F594" s="45" t="n"/>
    </row>
    <row r="595" ht="15.75" customHeight="1" s="162">
      <c r="E595" s="45" t="n"/>
      <c r="F595" s="45" t="n"/>
    </row>
    <row r="596" ht="15.75" customHeight="1" s="162">
      <c r="E596" s="45" t="n"/>
      <c r="F596" s="45" t="n"/>
    </row>
    <row r="597" ht="15.75" customHeight="1" s="162">
      <c r="E597" s="45" t="n"/>
      <c r="F597" s="45" t="n"/>
    </row>
    <row r="598" ht="15.75" customHeight="1" s="162">
      <c r="E598" s="45" t="n"/>
      <c r="F598" s="45" t="n"/>
    </row>
    <row r="599" ht="15.75" customHeight="1" s="162">
      <c r="E599" s="45" t="n"/>
      <c r="F599" s="45" t="n"/>
    </row>
    <row r="600" ht="15.75" customHeight="1" s="162">
      <c r="E600" s="45" t="n"/>
      <c r="F600" s="45" t="n"/>
    </row>
    <row r="601" ht="15.75" customHeight="1" s="162">
      <c r="E601" s="45" t="n"/>
      <c r="F601" s="45" t="n"/>
    </row>
    <row r="602" ht="15.75" customHeight="1" s="162">
      <c r="E602" s="45" t="n"/>
      <c r="F602" s="45" t="n"/>
    </row>
    <row r="603" ht="15.75" customHeight="1" s="162">
      <c r="E603" s="45" t="n"/>
      <c r="F603" s="45" t="n"/>
    </row>
    <row r="604" ht="15.75" customHeight="1" s="162">
      <c r="E604" s="45" t="n"/>
      <c r="F604" s="45" t="n"/>
    </row>
    <row r="605" ht="15.75" customHeight="1" s="162">
      <c r="E605" s="45" t="n"/>
      <c r="F605" s="45" t="n"/>
    </row>
    <row r="606" ht="15.75" customHeight="1" s="162">
      <c r="E606" s="45" t="n"/>
      <c r="F606" s="45" t="n"/>
    </row>
    <row r="607" ht="15.75" customHeight="1" s="162">
      <c r="E607" s="45" t="n"/>
      <c r="F607" s="45" t="n"/>
    </row>
    <row r="608" ht="15.75" customHeight="1" s="162">
      <c r="E608" s="45" t="n"/>
      <c r="F608" s="45" t="n"/>
    </row>
    <row r="609" ht="15.75" customHeight="1" s="162">
      <c r="E609" s="45" t="n"/>
      <c r="F609" s="45" t="n"/>
    </row>
    <row r="610" ht="15.75" customHeight="1" s="162">
      <c r="E610" s="45" t="n"/>
      <c r="F610" s="45" t="n"/>
    </row>
    <row r="611" ht="15.75" customHeight="1" s="162">
      <c r="E611" s="45" t="n"/>
      <c r="F611" s="45" t="n"/>
    </row>
    <row r="612" ht="15.75" customHeight="1" s="162">
      <c r="E612" s="45" t="n"/>
      <c r="F612" s="45" t="n"/>
    </row>
    <row r="613" ht="15.75" customHeight="1" s="162">
      <c r="E613" s="45" t="n"/>
      <c r="F613" s="45" t="n"/>
    </row>
    <row r="614" ht="15.75" customHeight="1" s="162">
      <c r="E614" s="45" t="n"/>
      <c r="F614" s="45" t="n"/>
    </row>
    <row r="615" ht="15.75" customHeight="1" s="162">
      <c r="E615" s="45" t="n"/>
      <c r="F615" s="45" t="n"/>
    </row>
    <row r="616" ht="15.75" customHeight="1" s="162">
      <c r="E616" s="45" t="n"/>
      <c r="F616" s="45" t="n"/>
    </row>
    <row r="617" ht="15.75" customHeight="1" s="162">
      <c r="E617" s="45" t="n"/>
      <c r="F617" s="45" t="n"/>
    </row>
    <row r="618" ht="15.75" customHeight="1" s="162">
      <c r="E618" s="45" t="n"/>
      <c r="F618" s="45" t="n"/>
    </row>
    <row r="619" ht="15.75" customHeight="1" s="162">
      <c r="E619" s="45" t="n"/>
      <c r="F619" s="45" t="n"/>
    </row>
    <row r="620" ht="15.75" customHeight="1" s="162">
      <c r="E620" s="45" t="n"/>
      <c r="F620" s="45" t="n"/>
    </row>
    <row r="621" ht="15.75" customHeight="1" s="162">
      <c r="E621" s="45" t="n"/>
      <c r="F621" s="45" t="n"/>
    </row>
    <row r="622" ht="15.75" customHeight="1" s="162">
      <c r="E622" s="45" t="n"/>
      <c r="F622" s="45" t="n"/>
    </row>
    <row r="623" ht="15.75" customHeight="1" s="162">
      <c r="E623" s="45" t="n"/>
      <c r="F623" s="45" t="n"/>
    </row>
    <row r="624" ht="15.75" customHeight="1" s="162">
      <c r="E624" s="45" t="n"/>
      <c r="F624" s="45" t="n"/>
    </row>
    <row r="625" ht="15.75" customHeight="1" s="162">
      <c r="E625" s="45" t="n"/>
      <c r="F625" s="45" t="n"/>
    </row>
    <row r="626" ht="15.75" customHeight="1" s="162">
      <c r="E626" s="45" t="n"/>
      <c r="F626" s="45" t="n"/>
    </row>
    <row r="627" ht="15.75" customHeight="1" s="162">
      <c r="E627" s="45" t="n"/>
      <c r="F627" s="45" t="n"/>
    </row>
    <row r="628" ht="15.75" customHeight="1" s="162">
      <c r="E628" s="45" t="n"/>
      <c r="F628" s="45" t="n"/>
    </row>
    <row r="629" ht="15.75" customHeight="1" s="162">
      <c r="E629" s="45" t="n"/>
      <c r="F629" s="45" t="n"/>
    </row>
    <row r="630" ht="15.75" customHeight="1" s="162">
      <c r="E630" s="45" t="n"/>
      <c r="F630" s="45" t="n"/>
    </row>
    <row r="631" ht="15.75" customHeight="1" s="162">
      <c r="E631" s="45" t="n"/>
      <c r="F631" s="45" t="n"/>
    </row>
    <row r="632" ht="15.75" customHeight="1" s="162">
      <c r="E632" s="45" t="n"/>
      <c r="F632" s="45" t="n"/>
    </row>
    <row r="633" ht="15.75" customHeight="1" s="162">
      <c r="E633" s="45" t="n"/>
      <c r="F633" s="45" t="n"/>
    </row>
    <row r="634" ht="15.75" customHeight="1" s="162">
      <c r="E634" s="45" t="n"/>
      <c r="F634" s="45" t="n"/>
    </row>
    <row r="635" ht="15.75" customHeight="1" s="162">
      <c r="E635" s="45" t="n"/>
      <c r="F635" s="45" t="n"/>
    </row>
    <row r="636" ht="15.75" customHeight="1" s="162">
      <c r="E636" s="45" t="n"/>
      <c r="F636" s="45" t="n"/>
    </row>
    <row r="637" ht="15.75" customHeight="1" s="162">
      <c r="E637" s="45" t="n"/>
      <c r="F637" s="45" t="n"/>
    </row>
    <row r="638" ht="15.75" customHeight="1" s="162">
      <c r="E638" s="45" t="n"/>
      <c r="F638" s="45" t="n"/>
    </row>
    <row r="639" ht="15.75" customHeight="1" s="162">
      <c r="E639" s="45" t="n"/>
      <c r="F639" s="45" t="n"/>
    </row>
    <row r="640" ht="15.75" customHeight="1" s="162">
      <c r="E640" s="45" t="n"/>
      <c r="F640" s="45" t="n"/>
    </row>
    <row r="641" ht="15.75" customHeight="1" s="162">
      <c r="E641" s="45" t="n"/>
      <c r="F641" s="45" t="n"/>
    </row>
    <row r="642" ht="15.75" customHeight="1" s="162">
      <c r="E642" s="45" t="n"/>
      <c r="F642" s="45" t="n"/>
    </row>
    <row r="643" ht="15.75" customHeight="1" s="162">
      <c r="E643" s="45" t="n"/>
      <c r="F643" s="45" t="n"/>
    </row>
    <row r="644" ht="15.75" customHeight="1" s="162">
      <c r="E644" s="45" t="n"/>
      <c r="F644" s="45" t="n"/>
    </row>
    <row r="645" ht="15.75" customHeight="1" s="162">
      <c r="E645" s="45" t="n"/>
      <c r="F645" s="45" t="n"/>
    </row>
    <row r="646" ht="15.75" customHeight="1" s="162">
      <c r="E646" s="45" t="n"/>
      <c r="F646" s="45" t="n"/>
    </row>
    <row r="647" ht="15.75" customHeight="1" s="162">
      <c r="E647" s="45" t="n"/>
      <c r="F647" s="45" t="n"/>
    </row>
    <row r="648" ht="15.75" customHeight="1" s="162">
      <c r="E648" s="45" t="n"/>
      <c r="F648" s="45" t="n"/>
    </row>
    <row r="649" ht="15.75" customHeight="1" s="162">
      <c r="E649" s="45" t="n"/>
      <c r="F649" s="45" t="n"/>
    </row>
    <row r="650" ht="15.75" customHeight="1" s="162">
      <c r="E650" s="45" t="n"/>
      <c r="F650" s="45" t="n"/>
    </row>
    <row r="651" ht="15.75" customHeight="1" s="162">
      <c r="E651" s="45" t="n"/>
      <c r="F651" s="45" t="n"/>
    </row>
    <row r="652" ht="15.75" customHeight="1" s="162">
      <c r="E652" s="45" t="n"/>
      <c r="F652" s="45" t="n"/>
    </row>
    <row r="653" ht="15.75" customHeight="1" s="162">
      <c r="E653" s="45" t="n"/>
      <c r="F653" s="45" t="n"/>
    </row>
    <row r="654" ht="15.75" customHeight="1" s="162">
      <c r="E654" s="45" t="n"/>
      <c r="F654" s="45" t="n"/>
    </row>
    <row r="655" ht="15.75" customHeight="1" s="162">
      <c r="E655" s="45" t="n"/>
      <c r="F655" s="45" t="n"/>
    </row>
    <row r="656" ht="15.75" customHeight="1" s="162">
      <c r="E656" s="45" t="n"/>
      <c r="F656" s="45" t="n"/>
    </row>
    <row r="657" ht="15.75" customHeight="1" s="162">
      <c r="E657" s="45" t="n"/>
      <c r="F657" s="45" t="n"/>
    </row>
    <row r="658" ht="15.75" customHeight="1" s="162">
      <c r="E658" s="45" t="n"/>
      <c r="F658" s="45" t="n"/>
    </row>
    <row r="659" ht="15.75" customHeight="1" s="162">
      <c r="E659" s="45" t="n"/>
      <c r="F659" s="45" t="n"/>
    </row>
    <row r="660" ht="15.75" customHeight="1" s="162">
      <c r="E660" s="45" t="n"/>
      <c r="F660" s="45" t="n"/>
    </row>
    <row r="661" ht="15.75" customHeight="1" s="162">
      <c r="E661" s="45" t="n"/>
      <c r="F661" s="45" t="n"/>
    </row>
    <row r="662" ht="15.75" customHeight="1" s="162">
      <c r="E662" s="45" t="n"/>
      <c r="F662" s="45" t="n"/>
    </row>
    <row r="663" ht="15.75" customHeight="1" s="162">
      <c r="E663" s="45" t="n"/>
      <c r="F663" s="45" t="n"/>
    </row>
    <row r="664" ht="15.75" customHeight="1" s="162">
      <c r="E664" s="45" t="n"/>
      <c r="F664" s="45" t="n"/>
    </row>
    <row r="665" ht="15.75" customHeight="1" s="162">
      <c r="E665" s="45" t="n"/>
      <c r="F665" s="45" t="n"/>
    </row>
    <row r="666" ht="15.75" customHeight="1" s="162">
      <c r="E666" s="45" t="n"/>
      <c r="F666" s="45" t="n"/>
    </row>
    <row r="667" ht="15.75" customHeight="1" s="162">
      <c r="E667" s="45" t="n"/>
      <c r="F667" s="45" t="n"/>
    </row>
    <row r="668" ht="15.75" customHeight="1" s="162">
      <c r="E668" s="45" t="n"/>
      <c r="F668" s="45" t="n"/>
    </row>
    <row r="669" ht="15.75" customHeight="1" s="162">
      <c r="E669" s="45" t="n"/>
      <c r="F669" s="45" t="n"/>
    </row>
    <row r="670" ht="15.75" customHeight="1" s="162">
      <c r="E670" s="45" t="n"/>
      <c r="F670" s="45" t="n"/>
    </row>
    <row r="671" ht="15.75" customHeight="1" s="162">
      <c r="E671" s="45" t="n"/>
      <c r="F671" s="45" t="n"/>
    </row>
    <row r="672" ht="15.75" customHeight="1" s="162">
      <c r="E672" s="45" t="n"/>
      <c r="F672" s="45" t="n"/>
    </row>
    <row r="673" ht="15.75" customHeight="1" s="162">
      <c r="E673" s="45" t="n"/>
      <c r="F673" s="45" t="n"/>
    </row>
    <row r="674" ht="15.75" customHeight="1" s="162">
      <c r="E674" s="45" t="n"/>
      <c r="F674" s="45" t="n"/>
    </row>
    <row r="675" ht="15.75" customHeight="1" s="162">
      <c r="E675" s="45" t="n"/>
      <c r="F675" s="45" t="n"/>
    </row>
    <row r="676" ht="15.75" customHeight="1" s="162">
      <c r="E676" s="45" t="n"/>
      <c r="F676" s="45" t="n"/>
    </row>
    <row r="677" ht="15.75" customHeight="1" s="162">
      <c r="E677" s="45" t="n"/>
      <c r="F677" s="45" t="n"/>
    </row>
    <row r="678" ht="15.75" customHeight="1" s="162">
      <c r="E678" s="45" t="n"/>
      <c r="F678" s="45" t="n"/>
    </row>
    <row r="679" ht="15.75" customHeight="1" s="162">
      <c r="E679" s="45" t="n"/>
      <c r="F679" s="45" t="n"/>
    </row>
    <row r="680" ht="15.75" customHeight="1" s="162">
      <c r="E680" s="45" t="n"/>
      <c r="F680" s="45" t="n"/>
    </row>
    <row r="681" ht="15.75" customHeight="1" s="162">
      <c r="E681" s="45" t="n"/>
      <c r="F681" s="45" t="n"/>
    </row>
    <row r="682" ht="15.75" customHeight="1" s="162">
      <c r="E682" s="45" t="n"/>
      <c r="F682" s="45" t="n"/>
    </row>
    <row r="683" ht="15.75" customHeight="1" s="162">
      <c r="E683" s="45" t="n"/>
      <c r="F683" s="45" t="n"/>
    </row>
    <row r="684" ht="15.75" customHeight="1" s="162">
      <c r="E684" s="45" t="n"/>
      <c r="F684" s="45" t="n"/>
    </row>
    <row r="685" ht="15.75" customHeight="1" s="162">
      <c r="E685" s="45" t="n"/>
      <c r="F685" s="45" t="n"/>
    </row>
    <row r="686" ht="15.75" customHeight="1" s="162">
      <c r="E686" s="45" t="n"/>
      <c r="F686" s="45" t="n"/>
    </row>
    <row r="687" ht="15.75" customHeight="1" s="162">
      <c r="E687" s="45" t="n"/>
      <c r="F687" s="45" t="n"/>
    </row>
    <row r="688" ht="15.75" customHeight="1" s="162">
      <c r="E688" s="45" t="n"/>
      <c r="F688" s="45" t="n"/>
    </row>
    <row r="689" ht="15.75" customHeight="1" s="162">
      <c r="E689" s="45" t="n"/>
      <c r="F689" s="45" t="n"/>
    </row>
    <row r="690" ht="15.75" customHeight="1" s="162">
      <c r="E690" s="45" t="n"/>
      <c r="F690" s="45" t="n"/>
    </row>
    <row r="691" ht="15.75" customHeight="1" s="162">
      <c r="E691" s="45" t="n"/>
      <c r="F691" s="45" t="n"/>
    </row>
    <row r="692" ht="15.75" customHeight="1" s="162">
      <c r="E692" s="45" t="n"/>
      <c r="F692" s="45" t="n"/>
    </row>
    <row r="693" ht="15.75" customHeight="1" s="162">
      <c r="E693" s="45" t="n"/>
      <c r="F693" s="45" t="n"/>
    </row>
    <row r="694" ht="15.75" customHeight="1" s="162">
      <c r="E694" s="45" t="n"/>
      <c r="F694" s="45" t="n"/>
    </row>
    <row r="695" ht="15.75" customHeight="1" s="162">
      <c r="E695" s="45" t="n"/>
      <c r="F695" s="45" t="n"/>
    </row>
    <row r="696" ht="15.75" customHeight="1" s="162">
      <c r="E696" s="45" t="n"/>
      <c r="F696" s="45" t="n"/>
    </row>
    <row r="697" ht="15.75" customHeight="1" s="162">
      <c r="E697" s="45" t="n"/>
      <c r="F697" s="45" t="n"/>
    </row>
    <row r="698" ht="15.75" customHeight="1" s="162">
      <c r="E698" s="45" t="n"/>
      <c r="F698" s="45" t="n"/>
    </row>
    <row r="699" ht="15.75" customHeight="1" s="162">
      <c r="E699" s="45" t="n"/>
      <c r="F699" s="45" t="n"/>
    </row>
    <row r="700" ht="15.75" customHeight="1" s="162">
      <c r="E700" s="45" t="n"/>
      <c r="F700" s="45" t="n"/>
    </row>
    <row r="701" ht="15.75" customHeight="1" s="162">
      <c r="E701" s="45" t="n"/>
      <c r="F701" s="45" t="n"/>
    </row>
    <row r="702" ht="15.75" customHeight="1" s="162">
      <c r="E702" s="45" t="n"/>
      <c r="F702" s="45" t="n"/>
    </row>
    <row r="703" ht="15.75" customHeight="1" s="162">
      <c r="E703" s="45" t="n"/>
      <c r="F703" s="45" t="n"/>
    </row>
    <row r="704" ht="15.75" customHeight="1" s="162">
      <c r="E704" s="45" t="n"/>
      <c r="F704" s="45" t="n"/>
    </row>
    <row r="705" ht="15.75" customHeight="1" s="162">
      <c r="E705" s="45" t="n"/>
      <c r="F705" s="45" t="n"/>
    </row>
    <row r="706" ht="15.75" customHeight="1" s="162">
      <c r="E706" s="45" t="n"/>
      <c r="F706" s="45" t="n"/>
    </row>
    <row r="707" ht="15.75" customHeight="1" s="162">
      <c r="E707" s="45" t="n"/>
      <c r="F707" s="45" t="n"/>
    </row>
    <row r="708" ht="15.75" customHeight="1" s="162">
      <c r="E708" s="45" t="n"/>
      <c r="F708" s="45" t="n"/>
    </row>
    <row r="709" ht="15.75" customHeight="1" s="162">
      <c r="E709" s="45" t="n"/>
      <c r="F709" s="45" t="n"/>
    </row>
    <row r="710" ht="15.75" customHeight="1" s="162">
      <c r="E710" s="45" t="n"/>
      <c r="F710" s="45" t="n"/>
    </row>
    <row r="711" ht="15.75" customHeight="1" s="162">
      <c r="E711" s="45" t="n"/>
      <c r="F711" s="45" t="n"/>
    </row>
    <row r="712" ht="15.75" customHeight="1" s="162">
      <c r="E712" s="45" t="n"/>
      <c r="F712" s="45" t="n"/>
    </row>
    <row r="713" ht="15.75" customHeight="1" s="162">
      <c r="E713" s="45" t="n"/>
      <c r="F713" s="45" t="n"/>
    </row>
    <row r="714" ht="15.75" customHeight="1" s="162">
      <c r="E714" s="45" t="n"/>
      <c r="F714" s="45" t="n"/>
    </row>
    <row r="715" ht="15.75" customHeight="1" s="162">
      <c r="E715" s="45" t="n"/>
      <c r="F715" s="45" t="n"/>
    </row>
    <row r="716" ht="15.75" customHeight="1" s="162">
      <c r="E716" s="45" t="n"/>
      <c r="F716" s="45" t="n"/>
    </row>
    <row r="717" ht="15.75" customHeight="1" s="162">
      <c r="E717" s="45" t="n"/>
      <c r="F717" s="45" t="n"/>
    </row>
    <row r="718" ht="15.75" customHeight="1" s="162">
      <c r="E718" s="45" t="n"/>
      <c r="F718" s="45" t="n"/>
    </row>
    <row r="719" ht="15.75" customHeight="1" s="162">
      <c r="E719" s="45" t="n"/>
      <c r="F719" s="45" t="n"/>
    </row>
    <row r="720" ht="15.75" customHeight="1" s="162">
      <c r="E720" s="45" t="n"/>
      <c r="F720" s="45" t="n"/>
    </row>
    <row r="721" ht="15.75" customHeight="1" s="162">
      <c r="E721" s="45" t="n"/>
      <c r="F721" s="45" t="n"/>
    </row>
    <row r="722" ht="15.75" customHeight="1" s="162">
      <c r="E722" s="45" t="n"/>
      <c r="F722" s="45" t="n"/>
    </row>
    <row r="723" ht="15.75" customHeight="1" s="162">
      <c r="E723" s="45" t="n"/>
      <c r="F723" s="45" t="n"/>
    </row>
    <row r="724" ht="15.75" customHeight="1" s="162">
      <c r="E724" s="45" t="n"/>
      <c r="F724" s="45" t="n"/>
    </row>
    <row r="725" ht="15.75" customHeight="1" s="162">
      <c r="E725" s="45" t="n"/>
      <c r="F725" s="45" t="n"/>
    </row>
    <row r="726" ht="15.75" customHeight="1" s="162">
      <c r="E726" s="45" t="n"/>
      <c r="F726" s="45" t="n"/>
    </row>
    <row r="727" ht="15.75" customHeight="1" s="162">
      <c r="E727" s="45" t="n"/>
      <c r="F727" s="45" t="n"/>
    </row>
    <row r="728" ht="15.75" customHeight="1" s="162">
      <c r="E728" s="45" t="n"/>
      <c r="F728" s="45" t="n"/>
    </row>
    <row r="729" ht="15.75" customHeight="1" s="162">
      <c r="E729" s="45" t="n"/>
      <c r="F729" s="45" t="n"/>
    </row>
    <row r="730" ht="15.75" customHeight="1" s="162">
      <c r="E730" s="45" t="n"/>
      <c r="F730" s="45" t="n"/>
    </row>
    <row r="731" ht="15.75" customHeight="1" s="162">
      <c r="E731" s="45" t="n"/>
      <c r="F731" s="45" t="n"/>
    </row>
    <row r="732" ht="15.75" customHeight="1" s="162">
      <c r="E732" s="45" t="n"/>
      <c r="F732" s="45" t="n"/>
    </row>
    <row r="733" ht="15.75" customHeight="1" s="162">
      <c r="E733" s="45" t="n"/>
      <c r="F733" s="45" t="n"/>
    </row>
    <row r="734" ht="15.75" customHeight="1" s="162">
      <c r="E734" s="45" t="n"/>
      <c r="F734" s="45" t="n"/>
    </row>
    <row r="735" ht="15.75" customHeight="1" s="162">
      <c r="E735" s="45" t="n"/>
      <c r="F735" s="45" t="n"/>
    </row>
    <row r="736" ht="15.75" customHeight="1" s="162">
      <c r="E736" s="45" t="n"/>
      <c r="F736" s="45" t="n"/>
    </row>
    <row r="737" ht="15.75" customHeight="1" s="162">
      <c r="E737" s="45" t="n"/>
      <c r="F737" s="45" t="n"/>
    </row>
    <row r="738" ht="15.75" customHeight="1" s="162">
      <c r="E738" s="45" t="n"/>
      <c r="F738" s="45" t="n"/>
    </row>
    <row r="739" ht="15.75" customHeight="1" s="162">
      <c r="E739" s="45" t="n"/>
      <c r="F739" s="45" t="n"/>
    </row>
    <row r="740" ht="15.75" customHeight="1" s="162">
      <c r="E740" s="45" t="n"/>
      <c r="F740" s="45" t="n"/>
    </row>
    <row r="741" ht="15.75" customHeight="1" s="162">
      <c r="E741" s="45" t="n"/>
      <c r="F741" s="45" t="n"/>
    </row>
    <row r="742" ht="15.75" customHeight="1" s="162">
      <c r="E742" s="45" t="n"/>
      <c r="F742" s="45" t="n"/>
    </row>
    <row r="743" ht="15.75" customHeight="1" s="162">
      <c r="E743" s="45" t="n"/>
      <c r="F743" s="45" t="n"/>
    </row>
    <row r="744" ht="15.75" customHeight="1" s="162">
      <c r="E744" s="45" t="n"/>
      <c r="F744" s="45" t="n"/>
    </row>
    <row r="745" ht="15.75" customHeight="1" s="162">
      <c r="E745" s="45" t="n"/>
      <c r="F745" s="45" t="n"/>
    </row>
    <row r="746" ht="15.75" customHeight="1" s="162">
      <c r="E746" s="45" t="n"/>
      <c r="F746" s="45" t="n"/>
    </row>
    <row r="747" ht="15.75" customHeight="1" s="162">
      <c r="E747" s="45" t="n"/>
      <c r="F747" s="45" t="n"/>
    </row>
    <row r="748" ht="15.75" customHeight="1" s="162">
      <c r="E748" s="45" t="n"/>
      <c r="F748" s="45" t="n"/>
    </row>
    <row r="749" ht="15.75" customHeight="1" s="162">
      <c r="E749" s="45" t="n"/>
      <c r="F749" s="45" t="n"/>
    </row>
    <row r="750" ht="15.75" customHeight="1" s="162">
      <c r="E750" s="45" t="n"/>
      <c r="F750" s="45" t="n"/>
    </row>
    <row r="751" ht="15.75" customHeight="1" s="162">
      <c r="E751" s="45" t="n"/>
      <c r="F751" s="45" t="n"/>
    </row>
    <row r="752" ht="15.75" customHeight="1" s="162">
      <c r="E752" s="45" t="n"/>
      <c r="F752" s="45" t="n"/>
    </row>
    <row r="753" ht="15.75" customHeight="1" s="162">
      <c r="E753" s="45" t="n"/>
      <c r="F753" s="45" t="n"/>
    </row>
    <row r="754" ht="15.75" customHeight="1" s="162">
      <c r="E754" s="45" t="n"/>
      <c r="F754" s="45" t="n"/>
    </row>
    <row r="755" ht="15.75" customHeight="1" s="162">
      <c r="E755" s="45" t="n"/>
      <c r="F755" s="45" t="n"/>
    </row>
    <row r="756" ht="15.75" customHeight="1" s="162">
      <c r="E756" s="45" t="n"/>
      <c r="F756" s="45" t="n"/>
    </row>
    <row r="757" ht="15.75" customHeight="1" s="162">
      <c r="E757" s="45" t="n"/>
      <c r="F757" s="45" t="n"/>
    </row>
    <row r="758" ht="15.75" customHeight="1" s="162">
      <c r="E758" s="45" t="n"/>
      <c r="F758" s="45" t="n"/>
    </row>
    <row r="759" ht="15.75" customHeight="1" s="162">
      <c r="E759" s="45" t="n"/>
      <c r="F759" s="45" t="n"/>
    </row>
    <row r="760" ht="15.75" customHeight="1" s="162">
      <c r="E760" s="45" t="n"/>
      <c r="F760" s="45" t="n"/>
    </row>
    <row r="761" ht="15.75" customHeight="1" s="162">
      <c r="E761" s="45" t="n"/>
      <c r="F761" s="45" t="n"/>
    </row>
    <row r="762" ht="15.75" customHeight="1" s="162">
      <c r="E762" s="45" t="n"/>
      <c r="F762" s="45" t="n"/>
    </row>
    <row r="763" ht="15.75" customHeight="1" s="162">
      <c r="E763" s="45" t="n"/>
      <c r="F763" s="45" t="n"/>
    </row>
    <row r="764" ht="15.75" customHeight="1" s="162">
      <c r="E764" s="45" t="n"/>
      <c r="F764" s="45" t="n"/>
    </row>
    <row r="765" ht="15.75" customHeight="1" s="162">
      <c r="E765" s="45" t="n"/>
      <c r="F765" s="45" t="n"/>
    </row>
    <row r="766" ht="15.75" customHeight="1" s="162">
      <c r="E766" s="45" t="n"/>
      <c r="F766" s="45" t="n"/>
    </row>
    <row r="767" ht="15.75" customHeight="1" s="162">
      <c r="E767" s="45" t="n"/>
      <c r="F767" s="45" t="n"/>
    </row>
    <row r="768" ht="15.75" customHeight="1" s="162">
      <c r="E768" s="45" t="n"/>
      <c r="F768" s="45" t="n"/>
    </row>
    <row r="769" ht="15.75" customHeight="1" s="162">
      <c r="E769" s="45" t="n"/>
      <c r="F769" s="45" t="n"/>
    </row>
    <row r="770" ht="15.75" customHeight="1" s="162">
      <c r="E770" s="45" t="n"/>
      <c r="F770" s="45" t="n"/>
    </row>
    <row r="771" ht="15.75" customHeight="1" s="162">
      <c r="E771" s="45" t="n"/>
      <c r="F771" s="45" t="n"/>
    </row>
    <row r="772" ht="15.75" customHeight="1" s="162">
      <c r="E772" s="45" t="n"/>
      <c r="F772" s="45" t="n"/>
    </row>
    <row r="773" ht="15.75" customHeight="1" s="162">
      <c r="E773" s="45" t="n"/>
      <c r="F773" s="45" t="n"/>
    </row>
    <row r="774" ht="15.75" customHeight="1" s="162">
      <c r="E774" s="45" t="n"/>
      <c r="F774" s="45" t="n"/>
    </row>
    <row r="775" ht="15.75" customHeight="1" s="162">
      <c r="E775" s="45" t="n"/>
      <c r="F775" s="45" t="n"/>
    </row>
    <row r="776" ht="15.75" customHeight="1" s="162">
      <c r="E776" s="45" t="n"/>
      <c r="F776" s="45" t="n"/>
    </row>
    <row r="777" ht="15.75" customHeight="1" s="162">
      <c r="E777" s="45" t="n"/>
      <c r="F777" s="45" t="n"/>
    </row>
    <row r="778" ht="15.75" customHeight="1" s="162">
      <c r="E778" s="45" t="n"/>
      <c r="F778" s="45" t="n"/>
    </row>
    <row r="779" ht="15.75" customHeight="1" s="162">
      <c r="E779" s="45" t="n"/>
      <c r="F779" s="45" t="n"/>
    </row>
    <row r="780" ht="15.75" customHeight="1" s="162">
      <c r="E780" s="45" t="n"/>
      <c r="F780" s="45" t="n"/>
    </row>
    <row r="781" ht="15.75" customHeight="1" s="162">
      <c r="E781" s="45" t="n"/>
      <c r="F781" s="45" t="n"/>
    </row>
    <row r="782" ht="15.75" customHeight="1" s="162">
      <c r="E782" s="45" t="n"/>
      <c r="F782" s="45" t="n"/>
    </row>
    <row r="783" ht="15.75" customHeight="1" s="162">
      <c r="E783" s="45" t="n"/>
      <c r="F783" s="45" t="n"/>
    </row>
    <row r="784" ht="15.75" customHeight="1" s="162">
      <c r="E784" s="45" t="n"/>
      <c r="F784" s="45" t="n"/>
    </row>
    <row r="785" ht="15.75" customHeight="1" s="162">
      <c r="E785" s="45" t="n"/>
      <c r="F785" s="45" t="n"/>
    </row>
    <row r="786" ht="15.75" customHeight="1" s="162">
      <c r="E786" s="45" t="n"/>
      <c r="F786" s="45" t="n"/>
    </row>
    <row r="787" ht="15.75" customHeight="1" s="162">
      <c r="E787" s="45" t="n"/>
      <c r="F787" s="45" t="n"/>
    </row>
    <row r="788" ht="15.75" customHeight="1" s="162">
      <c r="E788" s="45" t="n"/>
      <c r="F788" s="45" t="n"/>
    </row>
    <row r="789" ht="15.75" customHeight="1" s="162">
      <c r="E789" s="45" t="n"/>
      <c r="F789" s="45" t="n"/>
    </row>
    <row r="790" ht="15.75" customHeight="1" s="162">
      <c r="E790" s="45" t="n"/>
      <c r="F790" s="45" t="n"/>
    </row>
    <row r="791" ht="15.75" customHeight="1" s="162">
      <c r="E791" s="45" t="n"/>
      <c r="F791" s="45" t="n"/>
    </row>
    <row r="792" ht="15.75" customHeight="1" s="162">
      <c r="E792" s="45" t="n"/>
      <c r="F792" s="45" t="n"/>
    </row>
    <row r="793" ht="15.75" customHeight="1" s="162">
      <c r="E793" s="45" t="n"/>
      <c r="F793" s="45" t="n"/>
    </row>
    <row r="794" ht="15.75" customHeight="1" s="162">
      <c r="E794" s="45" t="n"/>
      <c r="F794" s="45" t="n"/>
    </row>
    <row r="795" ht="15.75" customHeight="1" s="162">
      <c r="E795" s="45" t="n"/>
      <c r="F795" s="45" t="n"/>
    </row>
    <row r="796" ht="15.75" customHeight="1" s="162">
      <c r="E796" s="45" t="n"/>
      <c r="F796" s="45" t="n"/>
    </row>
    <row r="797" ht="15.75" customHeight="1" s="162">
      <c r="E797" s="45" t="n"/>
      <c r="F797" s="45" t="n"/>
    </row>
    <row r="798" ht="15.75" customHeight="1" s="162">
      <c r="E798" s="45" t="n"/>
      <c r="F798" s="45" t="n"/>
    </row>
    <row r="799" ht="15.75" customHeight="1" s="162">
      <c r="E799" s="45" t="n"/>
      <c r="F799" s="45" t="n"/>
    </row>
    <row r="800" ht="15.75" customHeight="1" s="162">
      <c r="E800" s="45" t="n"/>
      <c r="F800" s="45" t="n"/>
    </row>
    <row r="801" ht="15.75" customHeight="1" s="162">
      <c r="E801" s="45" t="n"/>
      <c r="F801" s="45" t="n"/>
    </row>
    <row r="802" ht="15.75" customHeight="1" s="162">
      <c r="E802" s="45" t="n"/>
      <c r="F802" s="45" t="n"/>
    </row>
    <row r="803" ht="15.75" customHeight="1" s="162">
      <c r="E803" s="45" t="n"/>
      <c r="F803" s="45" t="n"/>
    </row>
    <row r="804" ht="15.75" customHeight="1" s="162">
      <c r="E804" s="45" t="n"/>
      <c r="F804" s="45" t="n"/>
    </row>
    <row r="805" ht="15.75" customHeight="1" s="162">
      <c r="E805" s="45" t="n"/>
      <c r="F805" s="45" t="n"/>
    </row>
    <row r="806" ht="15.75" customHeight="1" s="162">
      <c r="E806" s="45" t="n"/>
      <c r="F806" s="45" t="n"/>
    </row>
    <row r="807" ht="15.75" customHeight="1" s="162">
      <c r="E807" s="45" t="n"/>
      <c r="F807" s="45" t="n"/>
    </row>
    <row r="808" ht="15.75" customHeight="1" s="162">
      <c r="E808" s="45" t="n"/>
      <c r="F808" s="45" t="n"/>
    </row>
    <row r="809" ht="15.75" customHeight="1" s="162">
      <c r="E809" s="45" t="n"/>
      <c r="F809" s="45" t="n"/>
    </row>
    <row r="810" ht="15.75" customHeight="1" s="162">
      <c r="E810" s="45" t="n"/>
      <c r="F810" s="45" t="n"/>
    </row>
    <row r="811" ht="15.75" customHeight="1" s="162">
      <c r="E811" s="45" t="n"/>
      <c r="F811" s="45" t="n"/>
    </row>
    <row r="812" ht="15.75" customHeight="1" s="162">
      <c r="E812" s="45" t="n"/>
      <c r="F812" s="45" t="n"/>
    </row>
    <row r="813" ht="15.75" customHeight="1" s="162">
      <c r="E813" s="45" t="n"/>
      <c r="F813" s="45" t="n"/>
    </row>
    <row r="814" ht="15.75" customHeight="1" s="162">
      <c r="E814" s="45" t="n"/>
      <c r="F814" s="45" t="n"/>
    </row>
    <row r="815" ht="15.75" customHeight="1" s="162">
      <c r="E815" s="45" t="n"/>
      <c r="F815" s="45" t="n"/>
    </row>
    <row r="816" ht="15.75" customHeight="1" s="162">
      <c r="E816" s="45" t="n"/>
      <c r="F816" s="45" t="n"/>
    </row>
    <row r="817" ht="15.75" customHeight="1" s="162">
      <c r="E817" s="45" t="n"/>
      <c r="F817" s="45" t="n"/>
    </row>
    <row r="818" ht="15.75" customHeight="1" s="162">
      <c r="E818" s="45" t="n"/>
      <c r="F818" s="45" t="n"/>
    </row>
    <row r="819" ht="15.75" customHeight="1" s="162">
      <c r="E819" s="45" t="n"/>
      <c r="F819" s="45" t="n"/>
    </row>
    <row r="820" ht="15.75" customHeight="1" s="162">
      <c r="E820" s="45" t="n"/>
      <c r="F820" s="45" t="n"/>
    </row>
    <row r="821" ht="15.75" customHeight="1" s="162">
      <c r="E821" s="45" t="n"/>
      <c r="F821" s="45" t="n"/>
    </row>
    <row r="822" ht="15.75" customHeight="1" s="162">
      <c r="E822" s="45" t="n"/>
      <c r="F822" s="45" t="n"/>
    </row>
    <row r="823" ht="15.75" customHeight="1" s="162">
      <c r="E823" s="45" t="n"/>
      <c r="F823" s="45" t="n"/>
    </row>
    <row r="824" ht="15.75" customHeight="1" s="162">
      <c r="E824" s="45" t="n"/>
      <c r="F824" s="45" t="n"/>
    </row>
    <row r="825" ht="15.75" customHeight="1" s="162">
      <c r="E825" s="45" t="n"/>
      <c r="F825" s="45" t="n"/>
    </row>
    <row r="826" ht="15.75" customHeight="1" s="162">
      <c r="E826" s="45" t="n"/>
      <c r="F826" s="45" t="n"/>
    </row>
    <row r="827" ht="15.75" customHeight="1" s="162">
      <c r="E827" s="45" t="n"/>
      <c r="F827" s="45" t="n"/>
    </row>
    <row r="828" ht="15.75" customHeight="1" s="162">
      <c r="E828" s="45" t="n"/>
      <c r="F828" s="45" t="n"/>
    </row>
    <row r="829" ht="15.75" customHeight="1" s="162">
      <c r="E829" s="45" t="n"/>
      <c r="F829" s="45" t="n"/>
    </row>
    <row r="830" ht="15.75" customHeight="1" s="162">
      <c r="E830" s="45" t="n"/>
      <c r="F830" s="45" t="n"/>
    </row>
    <row r="831" ht="15.75" customHeight="1" s="162">
      <c r="E831" s="45" t="n"/>
      <c r="F831" s="45" t="n"/>
    </row>
    <row r="832" ht="15.75" customHeight="1" s="162">
      <c r="E832" s="45" t="n"/>
      <c r="F832" s="45" t="n"/>
    </row>
    <row r="833" ht="15.75" customHeight="1" s="162">
      <c r="E833" s="45" t="n"/>
      <c r="F833" s="45" t="n"/>
    </row>
    <row r="834" ht="15.75" customHeight="1" s="162">
      <c r="E834" s="45" t="n"/>
      <c r="F834" s="45" t="n"/>
    </row>
    <row r="835" ht="15.75" customHeight="1" s="162">
      <c r="E835" s="45" t="n"/>
      <c r="F835" s="45" t="n"/>
    </row>
    <row r="836" ht="15.75" customHeight="1" s="162">
      <c r="E836" s="45" t="n"/>
      <c r="F836" s="45" t="n"/>
    </row>
    <row r="837" ht="15.75" customHeight="1" s="162">
      <c r="E837" s="45" t="n"/>
      <c r="F837" s="45" t="n"/>
    </row>
    <row r="838" ht="15.75" customHeight="1" s="162">
      <c r="E838" s="45" t="n"/>
      <c r="F838" s="45" t="n"/>
    </row>
    <row r="839" ht="15.75" customHeight="1" s="162">
      <c r="E839" s="45" t="n"/>
      <c r="F839" s="45" t="n"/>
    </row>
    <row r="840" ht="15.75" customHeight="1" s="162">
      <c r="E840" s="45" t="n"/>
      <c r="F840" s="45" t="n"/>
    </row>
    <row r="841" ht="15.75" customHeight="1" s="162">
      <c r="E841" s="45" t="n"/>
      <c r="F841" s="45" t="n"/>
    </row>
    <row r="842" ht="15.75" customHeight="1" s="162">
      <c r="E842" s="45" t="n"/>
      <c r="F842" s="45" t="n"/>
    </row>
    <row r="843" ht="15.75" customHeight="1" s="162">
      <c r="E843" s="45" t="n"/>
      <c r="F843" s="45" t="n"/>
    </row>
    <row r="844" ht="15.75" customHeight="1" s="162">
      <c r="E844" s="45" t="n"/>
      <c r="F844" s="45" t="n"/>
    </row>
    <row r="845" ht="15.75" customHeight="1" s="162">
      <c r="E845" s="45" t="n"/>
      <c r="F845" s="45" t="n"/>
    </row>
    <row r="846" ht="15.75" customHeight="1" s="162">
      <c r="E846" s="45" t="n"/>
      <c r="F846" s="45" t="n"/>
    </row>
    <row r="847" ht="15.75" customHeight="1" s="162">
      <c r="E847" s="45" t="n"/>
      <c r="F847" s="45" t="n"/>
    </row>
    <row r="848" ht="15.75" customHeight="1" s="162">
      <c r="E848" s="45" t="n"/>
      <c r="F848" s="45" t="n"/>
    </row>
    <row r="849" ht="15.75" customHeight="1" s="162">
      <c r="E849" s="45" t="n"/>
      <c r="F849" s="45" t="n"/>
    </row>
    <row r="850" ht="15.75" customHeight="1" s="162">
      <c r="E850" s="45" t="n"/>
      <c r="F850" s="45" t="n"/>
    </row>
    <row r="851" ht="15.75" customHeight="1" s="162">
      <c r="E851" s="45" t="n"/>
      <c r="F851" s="45" t="n"/>
    </row>
    <row r="852" ht="15.75" customHeight="1" s="162">
      <c r="E852" s="45" t="n"/>
      <c r="F852" s="45" t="n"/>
    </row>
    <row r="853" ht="15.75" customHeight="1" s="162">
      <c r="E853" s="45" t="n"/>
      <c r="F853" s="45" t="n"/>
    </row>
    <row r="854" ht="15.75" customHeight="1" s="162">
      <c r="E854" s="45" t="n"/>
      <c r="F854" s="45" t="n"/>
    </row>
    <row r="855" ht="15.75" customHeight="1" s="162">
      <c r="E855" s="45" t="n"/>
      <c r="F855" s="45" t="n"/>
    </row>
    <row r="856" ht="15.75" customHeight="1" s="162">
      <c r="E856" s="45" t="n"/>
      <c r="F856" s="45" t="n"/>
    </row>
    <row r="857" ht="15.75" customHeight="1" s="162">
      <c r="E857" s="45" t="n"/>
      <c r="F857" s="45" t="n"/>
    </row>
    <row r="858" ht="15.75" customHeight="1" s="162">
      <c r="E858" s="45" t="n"/>
      <c r="F858" s="45" t="n"/>
    </row>
    <row r="859" ht="15.75" customHeight="1" s="162">
      <c r="E859" s="45" t="n"/>
      <c r="F859" s="45" t="n"/>
    </row>
    <row r="860" ht="15.75" customHeight="1" s="162">
      <c r="E860" s="45" t="n"/>
      <c r="F860" s="45" t="n"/>
    </row>
    <row r="861" ht="15.75" customHeight="1" s="162">
      <c r="E861" s="45" t="n"/>
      <c r="F861" s="45" t="n"/>
    </row>
    <row r="862" ht="15.75" customHeight="1" s="162">
      <c r="E862" s="45" t="n"/>
      <c r="F862" s="45" t="n"/>
    </row>
    <row r="863" ht="15.75" customHeight="1" s="162">
      <c r="E863" s="45" t="n"/>
      <c r="F863" s="45" t="n"/>
    </row>
    <row r="864" ht="15.75" customHeight="1" s="162">
      <c r="E864" s="45" t="n"/>
      <c r="F864" s="45" t="n"/>
    </row>
    <row r="865" ht="15.75" customHeight="1" s="162">
      <c r="E865" s="45" t="n"/>
      <c r="F865" s="45" t="n"/>
    </row>
    <row r="866" ht="15.75" customHeight="1" s="162">
      <c r="E866" s="45" t="n"/>
      <c r="F866" s="45" t="n"/>
    </row>
    <row r="867" ht="15.75" customHeight="1" s="162">
      <c r="E867" s="45" t="n"/>
      <c r="F867" s="45" t="n"/>
    </row>
    <row r="868" ht="15.75" customHeight="1" s="162">
      <c r="E868" s="45" t="n"/>
      <c r="F868" s="45" t="n"/>
    </row>
    <row r="869" ht="15.75" customHeight="1" s="162">
      <c r="E869" s="45" t="n"/>
      <c r="F869" s="45" t="n"/>
    </row>
    <row r="870" ht="15.75" customHeight="1" s="162">
      <c r="E870" s="45" t="n"/>
      <c r="F870" s="45" t="n"/>
    </row>
    <row r="871" ht="15.75" customHeight="1" s="162">
      <c r="E871" s="45" t="n"/>
      <c r="F871" s="45" t="n"/>
    </row>
    <row r="872" ht="15.75" customHeight="1" s="162">
      <c r="E872" s="45" t="n"/>
      <c r="F872" s="45" t="n"/>
    </row>
    <row r="873" ht="15.75" customHeight="1" s="162">
      <c r="E873" s="45" t="n"/>
      <c r="F873" s="45" t="n"/>
    </row>
    <row r="874" ht="15.75" customHeight="1" s="162">
      <c r="E874" s="45" t="n"/>
      <c r="F874" s="45" t="n"/>
    </row>
    <row r="875" ht="15.75" customHeight="1" s="162">
      <c r="E875" s="45" t="n"/>
      <c r="F875" s="45" t="n"/>
    </row>
    <row r="876" ht="15.75" customHeight="1" s="162">
      <c r="E876" s="45" t="n"/>
      <c r="F876" s="45" t="n"/>
    </row>
    <row r="877" ht="15.75" customHeight="1" s="162">
      <c r="E877" s="45" t="n"/>
      <c r="F877" s="45" t="n"/>
    </row>
    <row r="878" ht="15.75" customHeight="1" s="162">
      <c r="E878" s="45" t="n"/>
      <c r="F878" s="45" t="n"/>
    </row>
    <row r="879" ht="15.75" customHeight="1" s="162">
      <c r="E879" s="45" t="n"/>
      <c r="F879" s="45" t="n"/>
    </row>
    <row r="880" ht="15.75" customHeight="1" s="162">
      <c r="E880" s="45" t="n"/>
      <c r="F880" s="45" t="n"/>
    </row>
    <row r="881" ht="15.75" customHeight="1" s="162">
      <c r="E881" s="45" t="n"/>
      <c r="F881" s="45" t="n"/>
    </row>
    <row r="882" ht="15.75" customHeight="1" s="162">
      <c r="E882" s="45" t="n"/>
      <c r="F882" s="45" t="n"/>
    </row>
    <row r="883" ht="15.75" customHeight="1" s="162">
      <c r="E883" s="45" t="n"/>
      <c r="F883" s="45" t="n"/>
    </row>
    <row r="884" ht="15.75" customHeight="1" s="162">
      <c r="E884" s="45" t="n"/>
      <c r="F884" s="45" t="n"/>
    </row>
    <row r="885" ht="15.75" customHeight="1" s="162">
      <c r="E885" s="45" t="n"/>
      <c r="F885" s="45" t="n"/>
    </row>
    <row r="886" ht="15.75" customHeight="1" s="162">
      <c r="E886" s="45" t="n"/>
      <c r="F886" s="45" t="n"/>
    </row>
    <row r="887" ht="15.75" customHeight="1" s="162">
      <c r="E887" s="45" t="n"/>
      <c r="F887" s="45" t="n"/>
    </row>
    <row r="888" ht="15.75" customHeight="1" s="162">
      <c r="E888" s="45" t="n"/>
      <c r="F888" s="45" t="n"/>
    </row>
    <row r="889" ht="15.75" customHeight="1" s="162">
      <c r="E889" s="45" t="n"/>
      <c r="F889" s="45" t="n"/>
    </row>
    <row r="890" ht="15.75" customHeight="1" s="162">
      <c r="E890" s="45" t="n"/>
      <c r="F890" s="45" t="n"/>
    </row>
    <row r="891" ht="15.75" customHeight="1" s="162">
      <c r="E891" s="45" t="n"/>
      <c r="F891" s="45" t="n"/>
    </row>
    <row r="892" ht="15.75" customHeight="1" s="162">
      <c r="E892" s="45" t="n"/>
      <c r="F892" s="45" t="n"/>
    </row>
    <row r="893" ht="15.75" customHeight="1" s="162">
      <c r="E893" s="45" t="n"/>
      <c r="F893" s="45" t="n"/>
    </row>
    <row r="894" ht="15.75" customHeight="1" s="162">
      <c r="E894" s="45" t="n"/>
      <c r="F894" s="45" t="n"/>
    </row>
    <row r="895" ht="15.75" customHeight="1" s="162">
      <c r="E895" s="45" t="n"/>
      <c r="F895" s="45" t="n"/>
    </row>
    <row r="896" ht="15.75" customHeight="1" s="162">
      <c r="E896" s="45" t="n"/>
      <c r="F896" s="45" t="n"/>
    </row>
    <row r="897" ht="15.75" customHeight="1" s="162">
      <c r="E897" s="45" t="n"/>
      <c r="F897" s="45" t="n"/>
    </row>
    <row r="898" ht="15.75" customHeight="1" s="162">
      <c r="E898" s="45" t="n"/>
      <c r="F898" s="45" t="n"/>
    </row>
    <row r="899" ht="15.75" customHeight="1" s="162">
      <c r="E899" s="45" t="n"/>
      <c r="F899" s="45" t="n"/>
    </row>
    <row r="900" ht="15.75" customHeight="1" s="162">
      <c r="E900" s="45" t="n"/>
      <c r="F900" s="45" t="n"/>
    </row>
    <row r="901" ht="15.75" customHeight="1" s="162">
      <c r="E901" s="45" t="n"/>
      <c r="F901" s="45" t="n"/>
    </row>
    <row r="902" ht="15.75" customHeight="1" s="162">
      <c r="E902" s="45" t="n"/>
      <c r="F902" s="45" t="n"/>
    </row>
    <row r="903" ht="15.75" customHeight="1" s="162">
      <c r="E903" s="45" t="n"/>
      <c r="F903" s="45" t="n"/>
    </row>
    <row r="904" ht="15.75" customHeight="1" s="162">
      <c r="E904" s="45" t="n"/>
      <c r="F904" s="45" t="n"/>
    </row>
    <row r="905" ht="15.75" customHeight="1" s="162">
      <c r="E905" s="45" t="n"/>
      <c r="F905" s="45" t="n"/>
    </row>
    <row r="906" ht="15.75" customHeight="1" s="162">
      <c r="E906" s="45" t="n"/>
      <c r="F906" s="45" t="n"/>
    </row>
    <row r="907" ht="15.75" customHeight="1" s="162">
      <c r="E907" s="45" t="n"/>
      <c r="F907" s="45" t="n"/>
    </row>
    <row r="908" ht="15.75" customHeight="1" s="162">
      <c r="E908" s="45" t="n"/>
      <c r="F908" s="45" t="n"/>
    </row>
    <row r="909" ht="15.75" customHeight="1" s="162">
      <c r="E909" s="45" t="n"/>
      <c r="F909" s="45" t="n"/>
    </row>
    <row r="910" ht="15.75" customHeight="1" s="162">
      <c r="E910" s="45" t="n"/>
      <c r="F910" s="45" t="n"/>
    </row>
    <row r="911" ht="15.75" customHeight="1" s="162">
      <c r="E911" s="45" t="n"/>
      <c r="F911" s="45" t="n"/>
    </row>
    <row r="912" ht="15.75" customHeight="1" s="162">
      <c r="E912" s="45" t="n"/>
      <c r="F912" s="45" t="n"/>
    </row>
    <row r="913" ht="15.75" customHeight="1" s="162">
      <c r="E913" s="45" t="n"/>
      <c r="F913" s="45" t="n"/>
    </row>
    <row r="914" ht="15.75" customHeight="1" s="162">
      <c r="E914" s="45" t="n"/>
      <c r="F914" s="45" t="n"/>
    </row>
    <row r="915" ht="15.75" customHeight="1" s="162">
      <c r="E915" s="45" t="n"/>
      <c r="F915" s="45" t="n"/>
    </row>
    <row r="916" ht="15.75" customHeight="1" s="162">
      <c r="E916" s="45" t="n"/>
      <c r="F916" s="45" t="n"/>
    </row>
    <row r="917" ht="15.75" customHeight="1" s="162">
      <c r="E917" s="45" t="n"/>
      <c r="F917" s="45" t="n"/>
    </row>
    <row r="918" ht="15.75" customHeight="1" s="162">
      <c r="E918" s="45" t="n"/>
      <c r="F918" s="45" t="n"/>
    </row>
    <row r="919" ht="15.75" customHeight="1" s="162">
      <c r="E919" s="45" t="n"/>
      <c r="F919" s="45" t="n"/>
    </row>
    <row r="920" ht="15.75" customHeight="1" s="162">
      <c r="E920" s="45" t="n"/>
      <c r="F920" s="45" t="n"/>
    </row>
    <row r="921" ht="15.75" customHeight="1" s="162">
      <c r="E921" s="45" t="n"/>
      <c r="F921" s="45" t="n"/>
    </row>
    <row r="922" ht="15.75" customHeight="1" s="162">
      <c r="E922" s="45" t="n"/>
      <c r="F922" s="45" t="n"/>
    </row>
    <row r="923" ht="15.75" customHeight="1" s="162">
      <c r="E923" s="45" t="n"/>
      <c r="F923" s="45" t="n"/>
    </row>
    <row r="924" ht="15.75" customHeight="1" s="162">
      <c r="E924" s="45" t="n"/>
      <c r="F924" s="45" t="n"/>
    </row>
    <row r="925" ht="15.75" customHeight="1" s="162">
      <c r="E925" s="45" t="n"/>
      <c r="F925" s="45" t="n"/>
    </row>
    <row r="926" ht="15.75" customHeight="1" s="162">
      <c r="E926" s="45" t="n"/>
      <c r="F926" s="45" t="n"/>
    </row>
    <row r="927" ht="15.75" customHeight="1" s="162">
      <c r="E927" s="45" t="n"/>
      <c r="F927" s="45" t="n"/>
    </row>
    <row r="928" ht="15.75" customHeight="1" s="162">
      <c r="E928" s="45" t="n"/>
      <c r="F928" s="45" t="n"/>
    </row>
    <row r="929" ht="15.75" customHeight="1" s="162">
      <c r="E929" s="45" t="n"/>
      <c r="F929" s="45" t="n"/>
    </row>
    <row r="930" ht="15.75" customHeight="1" s="162">
      <c r="E930" s="45" t="n"/>
      <c r="F930" s="45" t="n"/>
    </row>
    <row r="931" ht="15.75" customHeight="1" s="162">
      <c r="E931" s="45" t="n"/>
      <c r="F931" s="45" t="n"/>
    </row>
    <row r="932" ht="15.75" customHeight="1" s="162">
      <c r="E932" s="45" t="n"/>
      <c r="F932" s="45" t="n"/>
    </row>
    <row r="933" ht="15.75" customHeight="1" s="162">
      <c r="E933" s="45" t="n"/>
      <c r="F933" s="45" t="n"/>
    </row>
    <row r="934" ht="15.75" customHeight="1" s="162">
      <c r="E934" s="45" t="n"/>
      <c r="F934" s="45" t="n"/>
    </row>
    <row r="935" ht="15.75" customHeight="1" s="162">
      <c r="E935" s="45" t="n"/>
      <c r="F935" s="45" t="n"/>
    </row>
    <row r="936" ht="15.75" customHeight="1" s="162">
      <c r="E936" s="45" t="n"/>
      <c r="F936" s="45" t="n"/>
    </row>
    <row r="937" ht="15.75" customHeight="1" s="162">
      <c r="E937" s="45" t="n"/>
      <c r="F937" s="45" t="n"/>
    </row>
    <row r="938" ht="15.75" customHeight="1" s="162">
      <c r="E938" s="45" t="n"/>
      <c r="F938" s="45" t="n"/>
    </row>
    <row r="939" ht="15.75" customHeight="1" s="162">
      <c r="E939" s="45" t="n"/>
      <c r="F939" s="45" t="n"/>
    </row>
    <row r="940" ht="15.75" customHeight="1" s="162">
      <c r="E940" s="45" t="n"/>
      <c r="F940" s="45" t="n"/>
    </row>
    <row r="941" ht="15.75" customHeight="1" s="162">
      <c r="E941" s="45" t="n"/>
      <c r="F941" s="45" t="n"/>
    </row>
    <row r="942" ht="15.75" customHeight="1" s="162">
      <c r="E942" s="45" t="n"/>
      <c r="F942" s="45" t="n"/>
    </row>
    <row r="943" ht="15.75" customHeight="1" s="162">
      <c r="E943" s="45" t="n"/>
      <c r="F943" s="45" t="n"/>
    </row>
    <row r="944" ht="15.75" customHeight="1" s="162">
      <c r="E944" s="45" t="n"/>
      <c r="F944" s="45" t="n"/>
    </row>
    <row r="945" ht="15.75" customHeight="1" s="162">
      <c r="E945" s="45" t="n"/>
      <c r="F945" s="45" t="n"/>
    </row>
    <row r="946" ht="15.75" customHeight="1" s="162">
      <c r="E946" s="45" t="n"/>
      <c r="F946" s="45" t="n"/>
    </row>
    <row r="947" ht="15.75" customHeight="1" s="162">
      <c r="E947" s="45" t="n"/>
      <c r="F947" s="45" t="n"/>
    </row>
    <row r="948" ht="15.75" customHeight="1" s="162">
      <c r="E948" s="45" t="n"/>
      <c r="F948" s="45" t="n"/>
    </row>
    <row r="949" ht="15.75" customHeight="1" s="162">
      <c r="E949" s="45" t="n"/>
      <c r="F949" s="45" t="n"/>
    </row>
    <row r="950" ht="15.75" customHeight="1" s="162">
      <c r="E950" s="45" t="n"/>
      <c r="F950" s="45" t="n"/>
    </row>
    <row r="951" ht="15.75" customHeight="1" s="162">
      <c r="E951" s="45" t="n"/>
      <c r="F951" s="45" t="n"/>
    </row>
    <row r="952" ht="15.75" customHeight="1" s="162">
      <c r="E952" s="45" t="n"/>
      <c r="F952" s="45" t="n"/>
    </row>
    <row r="953" ht="15.75" customHeight="1" s="162">
      <c r="E953" s="45" t="n"/>
      <c r="F953" s="45" t="n"/>
    </row>
    <row r="954" ht="15.75" customHeight="1" s="162">
      <c r="E954" s="45" t="n"/>
      <c r="F954" s="45" t="n"/>
    </row>
    <row r="955" ht="15.75" customHeight="1" s="162">
      <c r="E955" s="45" t="n"/>
      <c r="F955" s="45" t="n"/>
    </row>
    <row r="956" ht="15.75" customHeight="1" s="162">
      <c r="E956" s="45" t="n"/>
      <c r="F956" s="45" t="n"/>
    </row>
    <row r="957" ht="15.75" customHeight="1" s="162">
      <c r="E957" s="45" t="n"/>
      <c r="F957" s="45" t="n"/>
    </row>
    <row r="958" ht="15.75" customHeight="1" s="162">
      <c r="E958" s="45" t="n"/>
      <c r="F958" s="45" t="n"/>
    </row>
    <row r="959" ht="15.75" customHeight="1" s="162">
      <c r="E959" s="45" t="n"/>
      <c r="F959" s="45" t="n"/>
    </row>
    <row r="960" ht="15.75" customHeight="1" s="162">
      <c r="E960" s="45" t="n"/>
      <c r="F960" s="45" t="n"/>
    </row>
    <row r="961" ht="15.75" customHeight="1" s="162">
      <c r="E961" s="45" t="n"/>
      <c r="F961" s="45" t="n"/>
    </row>
    <row r="962" ht="15.75" customHeight="1" s="162">
      <c r="E962" s="45" t="n"/>
      <c r="F962" s="45" t="n"/>
    </row>
    <row r="963" ht="15.75" customHeight="1" s="162">
      <c r="E963" s="45" t="n"/>
      <c r="F963" s="45" t="n"/>
    </row>
    <row r="964" ht="15.75" customHeight="1" s="162">
      <c r="E964" s="45" t="n"/>
      <c r="F964" s="45" t="n"/>
    </row>
    <row r="965" ht="15.75" customHeight="1" s="162">
      <c r="E965" s="45" t="n"/>
      <c r="F965" s="45" t="n"/>
    </row>
    <row r="966" ht="15.75" customHeight="1" s="162">
      <c r="E966" s="45" t="n"/>
      <c r="F966" s="45" t="n"/>
    </row>
    <row r="967" ht="15.75" customHeight="1" s="162">
      <c r="E967" s="45" t="n"/>
      <c r="F967" s="45" t="n"/>
    </row>
    <row r="968" ht="15.75" customHeight="1" s="162">
      <c r="E968" s="45" t="n"/>
      <c r="F968" s="45" t="n"/>
    </row>
    <row r="969" ht="15.75" customHeight="1" s="162">
      <c r="E969" s="45" t="n"/>
      <c r="F969" s="45" t="n"/>
    </row>
    <row r="970" ht="15.75" customHeight="1" s="162">
      <c r="E970" s="45" t="n"/>
      <c r="F970" s="45" t="n"/>
    </row>
    <row r="971" ht="15.75" customHeight="1" s="162">
      <c r="E971" s="45" t="n"/>
      <c r="F971" s="45" t="n"/>
    </row>
    <row r="972" ht="15.75" customHeight="1" s="162">
      <c r="E972" s="45" t="n"/>
      <c r="F972" s="45" t="n"/>
    </row>
    <row r="973" ht="15.75" customHeight="1" s="162">
      <c r="E973" s="45" t="n"/>
      <c r="F973" s="45" t="n"/>
    </row>
    <row r="974" ht="15.75" customHeight="1" s="162">
      <c r="E974" s="45" t="n"/>
      <c r="F974" s="45" t="n"/>
    </row>
    <row r="975" ht="15.75" customHeight="1" s="162">
      <c r="E975" s="45" t="n"/>
      <c r="F975" s="45" t="n"/>
    </row>
    <row r="976" ht="15.75" customHeight="1" s="162">
      <c r="E976" s="45" t="n"/>
      <c r="F976" s="45" t="n"/>
    </row>
    <row r="977" ht="15.75" customHeight="1" s="162">
      <c r="E977" s="45" t="n"/>
      <c r="F977" s="45" t="n"/>
    </row>
    <row r="978" ht="15.75" customHeight="1" s="162">
      <c r="E978" s="45" t="n"/>
      <c r="F978" s="45" t="n"/>
    </row>
    <row r="979" ht="15.75" customHeight="1" s="162">
      <c r="E979" s="45" t="n"/>
      <c r="F979" s="45" t="n"/>
    </row>
    <row r="980" ht="15.75" customHeight="1" s="162">
      <c r="E980" s="45" t="n"/>
      <c r="F980" s="45" t="n"/>
    </row>
    <row r="981" ht="15.75" customHeight="1" s="162">
      <c r="E981" s="45" t="n"/>
      <c r="F981" s="45" t="n"/>
    </row>
    <row r="982" ht="15.75" customHeight="1" s="162">
      <c r="E982" s="45" t="n"/>
      <c r="F982" s="45" t="n"/>
    </row>
    <row r="983" ht="15.75" customHeight="1" s="162">
      <c r="E983" s="45" t="n"/>
      <c r="F983" s="45" t="n"/>
    </row>
    <row r="984" ht="15.75" customHeight="1" s="162">
      <c r="E984" s="45" t="n"/>
      <c r="F984" s="45" t="n"/>
    </row>
    <row r="985" ht="15.75" customHeight="1" s="162">
      <c r="E985" s="45" t="n"/>
      <c r="F985" s="45" t="n"/>
    </row>
    <row r="986" ht="15.75" customHeight="1" s="162">
      <c r="E986" s="45" t="n"/>
      <c r="F986" s="45" t="n"/>
    </row>
    <row r="987" ht="15.75" customHeight="1" s="162">
      <c r="E987" s="45" t="n"/>
      <c r="F987" s="45" t="n"/>
    </row>
    <row r="988" ht="15.75" customHeight="1" s="162">
      <c r="E988" s="45" t="n"/>
      <c r="F988" s="45" t="n"/>
    </row>
    <row r="989" ht="15.75" customHeight="1" s="162">
      <c r="E989" s="45" t="n"/>
      <c r="F989" s="45" t="n"/>
    </row>
    <row r="990" ht="15.75" customHeight="1" s="162">
      <c r="E990" s="45" t="n"/>
      <c r="F990" s="45" t="n"/>
    </row>
    <row r="991" ht="15.75" customHeight="1" s="162">
      <c r="E991" s="45" t="n"/>
      <c r="F991" s="45" t="n"/>
    </row>
    <row r="992" ht="15.75" customHeight="1" s="162">
      <c r="E992" s="45" t="n"/>
      <c r="F992" s="45" t="n"/>
    </row>
    <row r="993" ht="15.75" customHeight="1" s="162">
      <c r="E993" s="45" t="n"/>
      <c r="F993" s="45" t="n"/>
    </row>
    <row r="994" ht="15.75" customHeight="1" s="162">
      <c r="E994" s="45" t="n"/>
      <c r="F994" s="45" t="n"/>
    </row>
    <row r="995" ht="15.75" customHeight="1" s="162">
      <c r="E995" s="45" t="n"/>
      <c r="F995" s="45" t="n"/>
    </row>
    <row r="996" ht="15.75" customHeight="1" s="162">
      <c r="E996" s="45" t="n"/>
      <c r="F996" s="45" t="n"/>
    </row>
    <row r="997" ht="15.75" customHeight="1" s="162">
      <c r="E997" s="45" t="n"/>
      <c r="F997" s="45" t="n"/>
    </row>
    <row r="998" ht="15.75" customHeight="1" s="162">
      <c r="E998" s="45" t="n"/>
      <c r="F998" s="45" t="n"/>
    </row>
    <row r="999" ht="15.75" customHeight="1" s="162">
      <c r="E999" s="45" t="n"/>
      <c r="F999" s="45" t="n"/>
    </row>
    <row r="1000" ht="15.75" customHeight="1" s="162">
      <c r="E1000" s="45" t="n"/>
      <c r="F1000" s="45" t="n"/>
    </row>
  </sheetData>
  <mergeCells count="6">
    <mergeCell ref="D5:F5"/>
    <mergeCell ref="B3:C3"/>
    <mergeCell ref="B5:C5"/>
    <mergeCell ref="D4:F4"/>
    <mergeCell ref="D3:F3"/>
    <mergeCell ref="B4:C4"/>
  </mergeCells>
  <hyperlinks>
    <hyperlink ref="D9" location="Doctor_Dashboard!A1" display="Patient_Queue_Dashboard"/>
    <hyperlink ref="D10" location="Doctor_Dashboard!A1" display="Doctor_Dashboard"/>
    <hyperlink ref="D11" location="EMR_Management!A1" display="EMR_Management!A1"/>
    <hyperlink ref="D12" location="EMR_Management!A1" display="EMR_Management!A1"/>
    <hyperlink ref="D13" location="EMR_Management!A1" display="EMR_Management!A1"/>
    <hyperlink ref="D14" location="EMR_Management!A1" display="EMR_Management!A1"/>
    <hyperlink ref="D15" location="EMR_Management!A1" display="EMR_Management!A1"/>
    <hyperlink ref="D16" location="EMR_Management!A1" display="EMR_Management!A1"/>
  </hyperlinks>
  <pageMargins left="0.7479166666666667" right="0.7479166666666667" top="0.9840277777777778" bottom="1.150694444444444" header="0" footer="0"/>
  <pageSetup orientation="landscape" paperSize="9"/>
  <headerFooter>
    <oddHeader/>
    <oddFooter>&amp;L 02ae-BM/PM/HDCV/FSOFT v2/0&amp;CInternal use&amp;R&amp;P/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220"/>
  <sheetViews>
    <sheetView workbookViewId="0">
      <selection activeCell="A1" sqref="A1"/>
    </sheetView>
  </sheetViews>
  <sheetFormatPr baseColWidth="8" defaultColWidth="12.63" defaultRowHeight="15" customHeight="1"/>
  <cols>
    <col width="4.5" customWidth="1" style="162" min="1" max="1"/>
    <col width="18.38" customWidth="1" style="162" min="2" max="2"/>
    <col width="24.88" customWidth="1" style="162" min="3" max="3"/>
    <col width="11.63" customWidth="1" style="162" min="4" max="6"/>
    <col width="9" customWidth="1" style="162" min="7" max="7"/>
    <col width="35.5" customWidth="1" style="162" min="8" max="8"/>
    <col width="9" customWidth="1" style="162" min="9" max="26"/>
  </cols>
  <sheetData>
    <row r="1" ht="25.5" customHeight="1" s="162">
      <c r="A1" s="46" t="n"/>
      <c r="B1" s="171" t="inlineStr">
        <is>
          <t>TEST STATISTICS</t>
        </is>
      </c>
      <c r="I1" s="46" t="n"/>
      <c r="J1" s="46" t="n"/>
      <c r="K1" s="46" t="n"/>
      <c r="L1" s="46" t="n"/>
      <c r="M1" s="46" t="n"/>
      <c r="N1" s="46" t="n"/>
      <c r="O1" s="46" t="n"/>
      <c r="P1" s="46" t="n"/>
      <c r="Q1" s="46" t="n"/>
      <c r="R1" s="46" t="n"/>
      <c r="S1" s="46" t="n"/>
      <c r="T1" s="46" t="n"/>
      <c r="U1" s="46" t="n"/>
      <c r="V1" s="46" t="n"/>
      <c r="W1" s="46" t="n"/>
      <c r="X1" s="46" t="n"/>
      <c r="Y1" s="46" t="n"/>
      <c r="Z1" s="46" t="n"/>
    </row>
    <row r="2" ht="14.25" customHeight="1" s="162">
      <c r="A2" s="84" t="n"/>
      <c r="B2" s="84" t="n"/>
      <c r="C2" s="46" t="n"/>
      <c r="D2" s="46" t="n"/>
      <c r="E2" s="46" t="n"/>
      <c r="F2" s="46" t="n"/>
      <c r="G2" s="46" t="n"/>
      <c r="H2" s="85" t="n"/>
      <c r="I2" s="46" t="n"/>
      <c r="J2" s="46" t="n"/>
      <c r="K2" s="46" t="n"/>
      <c r="L2" s="46" t="n"/>
      <c r="M2" s="46" t="n"/>
      <c r="N2" s="46" t="n"/>
      <c r="O2" s="46" t="n"/>
      <c r="P2" s="46" t="n"/>
      <c r="Q2" s="46" t="n"/>
      <c r="R2" s="46" t="n"/>
      <c r="S2" s="46" t="n"/>
      <c r="T2" s="46" t="n"/>
      <c r="U2" s="46" t="n"/>
      <c r="V2" s="46" t="n"/>
      <c r="W2" s="46" t="n"/>
      <c r="X2" s="46" t="n"/>
      <c r="Y2" s="46" t="n"/>
      <c r="Z2" s="46" t="n"/>
    </row>
    <row r="3" ht="12" customHeight="1" s="162">
      <c r="A3" s="46" t="n"/>
      <c r="B3" s="86" t="inlineStr">
        <is>
          <t>Project Name</t>
        </is>
      </c>
      <c r="C3" s="169" t="inlineStr">
        <is>
          <t>Eyes Clinic Management System</t>
        </is>
      </c>
      <c r="D3" s="165" t="n"/>
      <c r="E3" s="172" t="inlineStr">
        <is>
          <t>Creator</t>
        </is>
      </c>
      <c r="F3" s="165" t="n"/>
      <c r="G3" s="88" t="n"/>
      <c r="H3" s="89" t="inlineStr">
        <is>
          <t>TuanTD</t>
        </is>
      </c>
      <c r="I3" s="46" t="n"/>
      <c r="J3" s="46" t="n"/>
      <c r="K3" s="46" t="n"/>
      <c r="L3" s="46" t="n"/>
      <c r="M3" s="46" t="n"/>
      <c r="N3" s="46" t="n"/>
      <c r="O3" s="46" t="n"/>
      <c r="P3" s="46" t="n"/>
      <c r="Q3" s="46" t="n"/>
      <c r="R3" s="46" t="n"/>
      <c r="S3" s="46" t="n"/>
      <c r="T3" s="46" t="n"/>
      <c r="U3" s="46" t="n"/>
      <c r="V3" s="46" t="n"/>
      <c r="W3" s="46" t="n"/>
      <c r="X3" s="46" t="n"/>
      <c r="Y3" s="46" t="n"/>
      <c r="Z3" s="46" t="n"/>
    </row>
    <row r="4" ht="12" customHeight="1" s="162">
      <c r="A4" s="46" t="n"/>
      <c r="B4" s="86" t="inlineStr">
        <is>
          <t>Project Code</t>
        </is>
      </c>
      <c r="C4" s="169" t="inlineStr">
        <is>
          <t>ECMS</t>
        </is>
      </c>
      <c r="D4" s="165" t="n"/>
      <c r="E4" s="172" t="inlineStr">
        <is>
          <t>Reviewer/Approver</t>
        </is>
      </c>
      <c r="F4" s="165" t="n"/>
      <c r="G4" s="88" t="n"/>
      <c r="H4" s="89" t="n"/>
      <c r="I4" s="46" t="n"/>
      <c r="J4" s="46" t="n"/>
      <c r="K4" s="46" t="n"/>
      <c r="L4" s="46" t="n"/>
      <c r="M4" s="46" t="n"/>
      <c r="N4" s="46" t="n"/>
      <c r="O4" s="46" t="n"/>
      <c r="P4" s="46" t="n"/>
      <c r="Q4" s="46" t="n"/>
      <c r="R4" s="46" t="n"/>
      <c r="S4" s="46" t="n"/>
      <c r="T4" s="46" t="n"/>
      <c r="U4" s="46" t="n"/>
      <c r="V4" s="46" t="n"/>
      <c r="W4" s="46" t="n"/>
      <c r="X4" s="46" t="n"/>
      <c r="Y4" s="46" t="n"/>
      <c r="Z4" s="46" t="n"/>
    </row>
    <row r="5" ht="12" customHeight="1" s="162">
      <c r="A5" s="46" t="n"/>
      <c r="B5" s="90" t="inlineStr">
        <is>
          <t>Document Code</t>
        </is>
      </c>
      <c r="C5" s="169">
        <f>C4&amp;"_"&amp;"Test Report"&amp;"_"&amp;"v1.0"</f>
        <v/>
      </c>
      <c r="D5" s="165" t="n"/>
      <c r="E5" s="172" t="inlineStr">
        <is>
          <t>Issue Date</t>
        </is>
      </c>
      <c r="F5" s="165" t="n"/>
      <c r="G5" s="88" t="n"/>
      <c r="H5" s="91" t="n">
        <v>46240</v>
      </c>
      <c r="I5" s="46" t="n"/>
      <c r="J5" s="46" t="n"/>
      <c r="K5" s="46" t="n"/>
      <c r="L5" s="46" t="n"/>
      <c r="M5" s="46" t="n"/>
      <c r="N5" s="46" t="n"/>
      <c r="O5" s="46" t="n"/>
      <c r="P5" s="46" t="n"/>
      <c r="Q5" s="46" t="n"/>
      <c r="R5" s="46" t="n"/>
      <c r="S5" s="46" t="n"/>
      <c r="T5" s="46" t="n"/>
      <c r="U5" s="46" t="n"/>
      <c r="V5" s="46" t="n"/>
      <c r="W5" s="46" t="n"/>
      <c r="X5" s="46" t="n"/>
      <c r="Y5" s="46" t="n"/>
      <c r="Z5" s="46" t="n"/>
    </row>
    <row r="6" ht="21.75" customHeight="1" s="162">
      <c r="A6" s="84" t="n"/>
      <c r="B6" s="90" t="inlineStr">
        <is>
          <t>Notes</t>
        </is>
      </c>
      <c r="C6" s="173" t="inlineStr">
        <is>
          <t>This release includes 2 main modules: Patient Queue Dashboard and EMR Management</t>
        </is>
      </c>
      <c r="D6" s="164" t="n"/>
      <c r="E6" s="164" t="n"/>
      <c r="F6" s="164" t="n"/>
      <c r="G6" s="164" t="n"/>
      <c r="H6" s="165" t="n"/>
      <c r="I6" s="46" t="n"/>
      <c r="J6" s="46" t="n"/>
      <c r="K6" s="46" t="n"/>
      <c r="L6" s="46" t="n"/>
      <c r="M6" s="46" t="n"/>
      <c r="N6" s="46" t="n"/>
      <c r="O6" s="46" t="n"/>
      <c r="P6" s="46" t="n"/>
      <c r="Q6" s="46" t="n"/>
      <c r="R6" s="46" t="n"/>
      <c r="S6" s="46" t="n"/>
      <c r="T6" s="46" t="n"/>
      <c r="U6" s="46" t="n"/>
      <c r="V6" s="46" t="n"/>
      <c r="W6" s="46" t="n"/>
      <c r="X6" s="46" t="n"/>
      <c r="Y6" s="46" t="n"/>
      <c r="Z6" s="46" t="n"/>
    </row>
    <row r="7" ht="14.25" customHeight="1" s="162">
      <c r="A7" s="84" t="n"/>
      <c r="B7" s="93" t="n"/>
      <c r="C7" s="94" t="n"/>
      <c r="D7" s="46" t="n"/>
      <c r="E7" s="46" t="n"/>
      <c r="F7" s="46" t="n"/>
      <c r="G7" s="46" t="n"/>
      <c r="H7" s="85" t="n"/>
      <c r="I7" s="46" t="n"/>
      <c r="J7" s="46" t="n"/>
      <c r="K7" s="46" t="n"/>
      <c r="L7" s="46" t="n"/>
      <c r="M7" s="46" t="n"/>
      <c r="N7" s="46" t="n"/>
      <c r="O7" s="46" t="n"/>
      <c r="P7" s="46" t="n"/>
      <c r="Q7" s="46" t="n"/>
      <c r="R7" s="46" t="n"/>
      <c r="S7" s="46" t="n"/>
      <c r="T7" s="46" t="n"/>
      <c r="U7" s="46" t="n"/>
      <c r="V7" s="46" t="n"/>
      <c r="W7" s="46" t="n"/>
      <c r="X7" s="46" t="n"/>
      <c r="Y7" s="46" t="n"/>
      <c r="Z7" s="46" t="n"/>
    </row>
    <row r="8" ht="12.75" customHeight="1" s="162">
      <c r="A8" s="46" t="n"/>
      <c r="B8" s="93" t="n"/>
      <c r="C8" s="94" t="n"/>
      <c r="D8" s="46" t="n"/>
      <c r="E8" s="46" t="n"/>
      <c r="F8" s="46" t="n"/>
      <c r="G8" s="46" t="n"/>
      <c r="H8" s="85" t="n"/>
      <c r="I8" s="46" t="n"/>
      <c r="J8" s="46" t="n"/>
      <c r="K8" s="46" t="n"/>
      <c r="L8" s="46" t="n"/>
      <c r="M8" s="46" t="n"/>
      <c r="N8" s="46" t="n"/>
      <c r="O8" s="46" t="n"/>
      <c r="P8" s="46" t="n"/>
      <c r="Q8" s="46" t="n"/>
      <c r="R8" s="46" t="n"/>
      <c r="S8" s="46" t="n"/>
      <c r="T8" s="46" t="n"/>
      <c r="U8" s="46" t="n"/>
      <c r="V8" s="46" t="n"/>
      <c r="W8" s="46" t="n"/>
      <c r="X8" s="46" t="n"/>
      <c r="Y8" s="46" t="n"/>
      <c r="Z8" s="46" t="n"/>
    </row>
    <row r="9" ht="12.75" customHeight="1" s="162">
      <c r="A9" s="46" t="n"/>
      <c r="B9" s="46" t="n"/>
      <c r="C9" s="46" t="n"/>
      <c r="D9" s="46" t="n"/>
      <c r="E9" s="46" t="n"/>
      <c r="F9" s="46" t="n"/>
      <c r="G9" s="46" t="n"/>
      <c r="H9" s="46" t="n"/>
      <c r="I9" s="46" t="n"/>
      <c r="J9" s="46" t="n"/>
      <c r="K9" s="46" t="n"/>
      <c r="L9" s="46" t="n"/>
      <c r="M9" s="46" t="n"/>
      <c r="N9" s="46" t="n"/>
      <c r="O9" s="46" t="n"/>
      <c r="P9" s="46" t="n"/>
      <c r="Q9" s="46" t="n"/>
      <c r="R9" s="46" t="n"/>
      <c r="S9" s="46" t="n"/>
      <c r="T9" s="46" t="n"/>
      <c r="U9" s="46" t="n"/>
      <c r="V9" s="46" t="n"/>
      <c r="W9" s="46" t="n"/>
      <c r="X9" s="46" t="n"/>
      <c r="Y9" s="46" t="n"/>
      <c r="Z9" s="46" t="n"/>
    </row>
    <row r="10" ht="12.75" customHeight="1" s="162">
      <c r="A10" s="95" t="n"/>
      <c r="B10" s="96" t="inlineStr">
        <is>
          <t>No</t>
        </is>
      </c>
      <c r="C10" s="97" t="inlineStr">
        <is>
          <t>Module code</t>
        </is>
      </c>
      <c r="D10" s="98" t="inlineStr">
        <is>
          <t>Passed</t>
        </is>
      </c>
      <c r="E10" s="97" t="inlineStr">
        <is>
          <t>Failed</t>
        </is>
      </c>
      <c r="F10" s="97" t="inlineStr">
        <is>
          <t>Pending</t>
        </is>
      </c>
      <c r="G10" s="99" t="inlineStr">
        <is>
          <t>N/A</t>
        </is>
      </c>
      <c r="H10" s="100" t="inlineStr">
        <is>
          <t>Number of  test cases</t>
        </is>
      </c>
      <c r="I10" s="46" t="n"/>
      <c r="J10" s="46" t="n"/>
      <c r="K10" s="46" t="n"/>
      <c r="L10" s="46" t="n"/>
      <c r="M10" s="46" t="n"/>
      <c r="N10" s="46" t="n"/>
      <c r="O10" s="46" t="n"/>
      <c r="P10" s="46" t="n"/>
      <c r="Q10" s="46" t="n"/>
      <c r="R10" s="46" t="n"/>
      <c r="S10" s="46" t="n"/>
      <c r="T10" s="46" t="n"/>
      <c r="U10" s="46" t="n"/>
      <c r="V10" s="46" t="n"/>
      <c r="W10" s="46" t="n"/>
      <c r="X10" s="46" t="n"/>
      <c r="Y10" s="46" t="n"/>
      <c r="Z10" s="46" t="n"/>
    </row>
    <row r="11" ht="12.75" customHeight="1" s="162">
      <c r="A11" s="95" t="n"/>
      <c r="B11" s="101" t="n">
        <v>1</v>
      </c>
      <c r="C11" s="102" t="inlineStr">
        <is>
          <t>Doctor_Dashboard</t>
        </is>
      </c>
      <c r="D11" s="103">
        <f>Doctor_Dashboard!B6</f>
        <v/>
      </c>
      <c r="E11" s="103">
        <f>Doctor_Dashboard!C6</f>
        <v/>
      </c>
      <c r="F11" s="103" t="n">
        <v>7</v>
      </c>
      <c r="G11" s="103">
        <f>Doctor_Dashboard!E6</f>
        <v/>
      </c>
      <c r="H11" s="104" t="n">
        <v>7</v>
      </c>
      <c r="I11" s="46" t="n"/>
      <c r="J11" s="46" t="n"/>
      <c r="K11" s="46" t="n"/>
      <c r="L11" s="46" t="n"/>
      <c r="M11" s="46" t="n"/>
      <c r="N11" s="46" t="n"/>
      <c r="O11" s="46" t="n"/>
      <c r="P11" s="46" t="n"/>
      <c r="Q11" s="46" t="n"/>
      <c r="R11" s="46" t="n"/>
      <c r="S11" s="46" t="n"/>
      <c r="T11" s="46" t="n"/>
      <c r="U11" s="46" t="n"/>
      <c r="V11" s="46" t="n"/>
      <c r="W11" s="46" t="n"/>
      <c r="X11" s="46" t="n"/>
      <c r="Y11" s="46" t="n"/>
      <c r="Z11" s="46" t="n"/>
    </row>
    <row r="12" ht="12.75" customHeight="1" s="162">
      <c r="A12" s="95" t="n"/>
      <c r="B12" s="101" t="n">
        <v>2</v>
      </c>
      <c r="C12" s="102" t="inlineStr">
        <is>
          <t>EMR_Management</t>
        </is>
      </c>
      <c r="D12" s="103">
        <f>EMR_Management!B6</f>
        <v/>
      </c>
      <c r="E12" s="103">
        <f>EMR_Management!C6</f>
        <v/>
      </c>
      <c r="F12" s="103">
        <f>EMR_Management!D6</f>
        <v/>
      </c>
      <c r="G12" s="103">
        <f>EMR_Management!E6</f>
        <v/>
      </c>
      <c r="H12" s="103" t="n">
        <v>7</v>
      </c>
      <c r="I12" s="46" t="n"/>
      <c r="J12" s="46" t="n"/>
      <c r="K12" s="46" t="n"/>
      <c r="L12" s="46" t="n"/>
      <c r="M12" s="46" t="n"/>
      <c r="N12" s="46" t="n"/>
      <c r="O12" s="46" t="n"/>
      <c r="P12" s="46" t="n"/>
      <c r="Q12" s="46" t="n"/>
      <c r="R12" s="46" t="n"/>
      <c r="S12" s="46" t="n"/>
      <c r="T12" s="46" t="n"/>
      <c r="U12" s="46" t="n"/>
      <c r="V12" s="46" t="n"/>
      <c r="W12" s="46" t="n"/>
      <c r="X12" s="46" t="n"/>
      <c r="Y12" s="46" t="n"/>
      <c r="Z12" s="46" t="n"/>
    </row>
    <row r="13" ht="12.75" customHeight="1" s="162">
      <c r="A13" s="95" t="n"/>
      <c r="B13" s="101" t="n"/>
      <c r="C13" s="102" t="n"/>
      <c r="D13" s="103" t="n"/>
      <c r="E13" s="103" t="n"/>
      <c r="F13" s="103" t="n"/>
      <c r="G13" s="105" t="n"/>
      <c r="H13" s="104" t="n"/>
      <c r="I13" s="46" t="n"/>
      <c r="J13" s="46" t="n"/>
      <c r="K13" s="46" t="n"/>
      <c r="L13" s="46" t="n"/>
      <c r="M13" s="46" t="n"/>
      <c r="N13" s="46" t="n"/>
      <c r="O13" s="46" t="n"/>
      <c r="P13" s="46" t="n"/>
      <c r="Q13" s="46" t="n"/>
      <c r="R13" s="46" t="n"/>
      <c r="S13" s="46" t="n"/>
      <c r="T13" s="46" t="n"/>
      <c r="U13" s="46" t="n"/>
      <c r="V13" s="46" t="n"/>
      <c r="W13" s="46" t="n"/>
      <c r="X13" s="46" t="n"/>
      <c r="Y13" s="46" t="n"/>
      <c r="Z13" s="46" t="n"/>
    </row>
    <row r="14" ht="12.75" customHeight="1" s="162">
      <c r="A14" s="95" t="n"/>
      <c r="B14" s="106" t="n"/>
      <c r="C14" s="107" t="inlineStr">
        <is>
          <t>Sub total</t>
        </is>
      </c>
      <c r="D14" s="108">
        <f>SUM(D9:D13)</f>
        <v/>
      </c>
      <c r="E14" s="108">
        <f>SUM(E9:E13)</f>
        <v/>
      </c>
      <c r="F14" s="108">
        <f>SUM(F9:F13)</f>
        <v/>
      </c>
      <c r="G14" s="108">
        <f>SUM(G9:G13)</f>
        <v/>
      </c>
      <c r="H14" s="109">
        <f>SUM(H9:H13)</f>
        <v/>
      </c>
      <c r="I14" s="46" t="n"/>
      <c r="J14" s="46" t="n"/>
      <c r="K14" s="46" t="n"/>
      <c r="L14" s="46" t="n"/>
      <c r="M14" s="46" t="n"/>
      <c r="N14" s="46" t="n"/>
      <c r="O14" s="46" t="n"/>
      <c r="P14" s="46" t="n"/>
      <c r="Q14" s="46" t="n"/>
      <c r="R14" s="46" t="n"/>
      <c r="S14" s="46" t="n"/>
      <c r="T14" s="46" t="n"/>
      <c r="U14" s="46" t="n"/>
      <c r="V14" s="46" t="n"/>
      <c r="W14" s="46" t="n"/>
      <c r="X14" s="46" t="n"/>
      <c r="Y14" s="46" t="n"/>
      <c r="Z14" s="46" t="n"/>
    </row>
    <row r="15" ht="12.75" customHeight="1" s="162">
      <c r="A15" s="46" t="n"/>
      <c r="B15" s="110" t="n"/>
      <c r="C15" s="46" t="n"/>
      <c r="D15" s="111" t="n"/>
      <c r="E15" s="112" t="n"/>
      <c r="F15" s="112" t="n"/>
      <c r="G15" s="112" t="n"/>
      <c r="H15" s="112" t="n"/>
      <c r="I15" s="46" t="n"/>
      <c r="J15" s="46" t="n"/>
      <c r="K15" s="46" t="n"/>
      <c r="L15" s="46" t="n"/>
      <c r="M15" s="46" t="n"/>
      <c r="N15" s="46" t="n"/>
      <c r="O15" s="46" t="n"/>
      <c r="P15" s="46" t="n"/>
      <c r="Q15" s="46" t="n"/>
      <c r="R15" s="46" t="n"/>
      <c r="S15" s="46" t="n"/>
      <c r="T15" s="46" t="n"/>
      <c r="U15" s="46" t="n"/>
      <c r="V15" s="46" t="n"/>
      <c r="W15" s="46" t="n"/>
      <c r="X15" s="46" t="n"/>
      <c r="Y15" s="46" t="n"/>
      <c r="Z15" s="46" t="n"/>
    </row>
    <row r="16" ht="12.75" customHeight="1" s="162">
      <c r="A16" s="46" t="n"/>
      <c r="B16" s="46" t="n"/>
      <c r="C16" s="9" t="inlineStr">
        <is>
          <t>Test coverage</t>
        </is>
      </c>
      <c r="D16" s="46" t="n"/>
      <c r="E16" s="113">
        <f>(D14+E14)*100/(H14-G14)</f>
        <v/>
      </c>
      <c r="F16" s="46" t="inlineStr">
        <is>
          <t>%</t>
        </is>
      </c>
      <c r="G16" s="46" t="n"/>
      <c r="H16" s="114" t="n"/>
      <c r="I16" s="46" t="n"/>
      <c r="J16" s="46" t="n"/>
      <c r="K16" s="46" t="n"/>
      <c r="L16" s="46" t="n"/>
      <c r="M16" s="46" t="n"/>
      <c r="N16" s="46" t="n"/>
      <c r="O16" s="46" t="n"/>
      <c r="P16" s="46" t="n"/>
      <c r="Q16" s="46" t="n"/>
      <c r="R16" s="46" t="n"/>
      <c r="S16" s="46" t="n"/>
      <c r="T16" s="46" t="n"/>
      <c r="U16" s="46" t="n"/>
      <c r="V16" s="46" t="n"/>
      <c r="W16" s="46" t="n"/>
      <c r="X16" s="46" t="n"/>
      <c r="Y16" s="46" t="n"/>
      <c r="Z16" s="46" t="n"/>
    </row>
    <row r="17" ht="12.75" customHeight="1" s="162">
      <c r="A17" s="46" t="n"/>
      <c r="B17" s="46" t="n"/>
      <c r="C17" s="9" t="inlineStr">
        <is>
          <t>Test successful coverage</t>
        </is>
      </c>
      <c r="D17" s="46" t="n"/>
      <c r="E17" s="113">
        <f>D14*100/(H14-G14)</f>
        <v/>
      </c>
      <c r="F17" s="46" t="inlineStr">
        <is>
          <t>%</t>
        </is>
      </c>
      <c r="G17" s="46" t="n"/>
      <c r="H17" s="114" t="n"/>
      <c r="I17" s="46" t="n"/>
      <c r="J17" s="46" t="n"/>
      <c r="K17" s="46" t="n"/>
      <c r="L17" s="46" t="n"/>
      <c r="M17" s="46" t="n"/>
      <c r="N17" s="46" t="n"/>
      <c r="O17" s="46" t="n"/>
      <c r="P17" s="46" t="n"/>
      <c r="Q17" s="46" t="n"/>
      <c r="R17" s="46" t="n"/>
      <c r="S17" s="46" t="n"/>
      <c r="T17" s="46" t="n"/>
      <c r="U17" s="46" t="n"/>
      <c r="V17" s="46" t="n"/>
      <c r="W17" s="46" t="n"/>
      <c r="X17" s="46" t="n"/>
      <c r="Y17" s="46" t="n"/>
      <c r="Z17" s="46" t="n"/>
    </row>
    <row r="18" ht="12.75" customHeight="1" s="162">
      <c r="A18" s="46" t="n"/>
      <c r="B18" s="46" t="n"/>
      <c r="C18" s="46" t="n"/>
      <c r="D18" s="46" t="n"/>
      <c r="E18" s="46" t="n"/>
      <c r="F18" s="46" t="n"/>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row>
    <row r="19" ht="12.75" customHeight="1" s="162">
      <c r="A19" s="46" t="n"/>
      <c r="B19" s="46" t="n"/>
      <c r="C19" s="46" t="n"/>
      <c r="D19" s="46" t="n"/>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row>
    <row r="20" ht="12.75" customHeight="1" s="162">
      <c r="A20" s="46" t="n"/>
      <c r="B20" s="46" t="n"/>
      <c r="C20" s="46" t="n"/>
      <c r="D20" s="46" t="n"/>
      <c r="E20" s="46" t="n"/>
      <c r="F20" s="46" t="n"/>
      <c r="G20" s="46" t="n"/>
      <c r="H20" s="46" t="n"/>
      <c r="I20" s="46" t="n"/>
      <c r="J20" s="46" t="n"/>
      <c r="K20" s="46" t="n"/>
      <c r="L20" s="46" t="n"/>
      <c r="M20" s="46" t="n"/>
      <c r="N20" s="46" t="n"/>
      <c r="O20" s="46" t="n"/>
      <c r="P20" s="46" t="n"/>
      <c r="Q20" s="46" t="n"/>
      <c r="R20" s="46" t="n"/>
      <c r="S20" s="46" t="n"/>
      <c r="T20" s="46" t="n"/>
      <c r="U20" s="46" t="n"/>
      <c r="V20" s="46" t="n"/>
      <c r="W20" s="46" t="n"/>
      <c r="X20" s="46" t="n"/>
      <c r="Y20" s="46" t="n"/>
      <c r="Z20" s="46" t="n"/>
    </row>
    <row r="21" ht="12.75" customHeight="1" s="162">
      <c r="A21" s="46" t="n"/>
      <c r="B21" s="46" t="n"/>
      <c r="C21" s="46" t="n"/>
      <c r="D21" s="46" t="n"/>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row>
    <row r="22" ht="12.75" customHeight="1" s="162">
      <c r="A22" s="46" t="n"/>
      <c r="B22" s="46" t="n"/>
      <c r="C22" s="46" t="n"/>
      <c r="D22" s="46" t="n"/>
      <c r="E22" s="46" t="n"/>
      <c r="F22" s="46" t="n"/>
      <c r="G22" s="46" t="n"/>
      <c r="H22" s="46" t="n"/>
      <c r="I22" s="46" t="n"/>
      <c r="J22" s="46" t="n"/>
      <c r="K22" s="46" t="n"/>
      <c r="L22" s="46" t="n"/>
      <c r="M22" s="46" t="n"/>
      <c r="N22" s="46" t="n"/>
      <c r="O22" s="46" t="n"/>
      <c r="P22" s="46" t="n"/>
      <c r="Q22" s="46" t="n"/>
      <c r="R22" s="46" t="n"/>
      <c r="S22" s="46" t="n"/>
      <c r="T22" s="46" t="n"/>
      <c r="U22" s="46" t="n"/>
      <c r="V22" s="46" t="n"/>
      <c r="W22" s="46" t="n"/>
      <c r="X22" s="46" t="n"/>
      <c r="Y22" s="46" t="n"/>
      <c r="Z22" s="46" t="n"/>
    </row>
    <row r="23" ht="12.75" customHeight="1" s="162">
      <c r="A23" s="46" t="n"/>
      <c r="B23" s="46" t="n"/>
      <c r="C23" s="46" t="n"/>
      <c r="D23" s="46" t="n"/>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row>
    <row r="24" ht="12.75" customHeight="1" s="162">
      <c r="A24" s="46" t="n"/>
      <c r="B24" s="46" t="n"/>
      <c r="C24" s="46" t="n"/>
      <c r="D24" s="46" t="n"/>
      <c r="E24" s="46" t="n"/>
      <c r="F24" s="46" t="n"/>
      <c r="G24" s="46" t="n"/>
      <c r="H24" s="46" t="n"/>
      <c r="I24" s="46" t="n"/>
      <c r="J24" s="46" t="n"/>
      <c r="K24" s="46" t="n"/>
      <c r="L24" s="46" t="n"/>
      <c r="M24" s="46" t="n"/>
      <c r="N24" s="46" t="n"/>
      <c r="O24" s="46" t="n"/>
      <c r="P24" s="46" t="n"/>
      <c r="Q24" s="46" t="n"/>
      <c r="R24" s="46" t="n"/>
      <c r="S24" s="46" t="n"/>
      <c r="T24" s="46" t="n"/>
      <c r="U24" s="46" t="n"/>
      <c r="V24" s="46" t="n"/>
      <c r="W24" s="46" t="n"/>
      <c r="X24" s="46" t="n"/>
      <c r="Y24" s="46" t="n"/>
      <c r="Z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46"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46"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46"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46"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46"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46"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46"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46"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46"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46"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46"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46"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46"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46"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46"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46"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46"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46"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46"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46"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46"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46"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46"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46"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46"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46"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46"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46"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46"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46"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46"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46"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46"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46"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46"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row>
    <row r="221" ht="15.75" customHeight="1" s="162"/>
    <row r="222" ht="15.75" customHeight="1" s="162"/>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 footer="0"/>
  <pageSetup orientation="landscape"/>
  <headerFooter>
    <oddHeader/>
    <oddFooter>&amp;L 02ae-BM/PM/HDCV/FSOFT v2/0&amp;CInternal use&amp;R&amp;P/</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Z220"/>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62" min="1" max="1"/>
    <col width="34.5" customWidth="1" style="162" min="2" max="2"/>
    <col width="34.13" customWidth="1" style="162" min="3" max="3"/>
    <col width="34.63" customWidth="1" style="162" min="4" max="4"/>
    <col width="28.38" customWidth="1" style="162" min="5" max="5"/>
    <col width="9.380000000000001" customWidth="1" style="162" min="6" max="6"/>
    <col outlineLevel="1" width="10.63" customWidth="1" style="162" min="7" max="7"/>
    <col outlineLevel="1" width="7" customWidth="1" style="162" min="8" max="8"/>
    <col width="9.380000000000001" customWidth="1" style="162" min="9" max="9"/>
    <col outlineLevel="1" width="10.63" customWidth="1" style="162" min="10" max="10"/>
    <col outlineLevel="1" width="7" customWidth="1" style="162" min="11" max="11"/>
    <col width="9.380000000000001" customWidth="1" style="162" min="12" max="12"/>
    <col outlineLevel="1" width="10.63" customWidth="1" style="162" min="13" max="13"/>
    <col outlineLevel="1" width="7" customWidth="1" style="162" min="14" max="14"/>
    <col width="28.63" customWidth="1" style="162" min="15" max="15"/>
    <col width="10.13" customWidth="1" style="162" min="16" max="16"/>
    <col width="8.130000000000001" customWidth="1" style="162" min="17" max="17"/>
    <col hidden="1" width="7.63" customWidth="1" style="162" min="18" max="18"/>
    <col width="9" customWidth="1" style="162" min="19" max="26"/>
  </cols>
  <sheetData>
    <row r="1" ht="12.75" customHeight="1" s="162">
      <c r="A1" s="46" t="n"/>
      <c r="B1" s="46" t="n"/>
      <c r="C1" s="46" t="n"/>
      <c r="D1" s="46" t="n"/>
      <c r="E1" s="46" t="n"/>
      <c r="F1" s="46" t="n"/>
      <c r="G1" s="46" t="n"/>
      <c r="H1" s="46" t="n"/>
      <c r="I1" s="46" t="n"/>
      <c r="J1" s="46" t="n"/>
      <c r="K1" s="46" t="n"/>
      <c r="L1" s="46" t="n"/>
      <c r="M1" s="46" t="n"/>
      <c r="N1" s="46" t="n"/>
      <c r="O1" s="46" t="n"/>
      <c r="P1" s="46" t="n"/>
      <c r="Q1" s="115" t="n"/>
      <c r="R1" s="46" t="n"/>
      <c r="S1" s="46" t="n"/>
      <c r="T1" s="46" t="n"/>
      <c r="U1" s="46" t="n"/>
      <c r="V1" s="46" t="n"/>
      <c r="W1" s="46" t="n"/>
      <c r="X1" s="46" t="n"/>
      <c r="Y1" s="46" t="n"/>
      <c r="Z1" s="46" t="n"/>
    </row>
    <row r="2" ht="15" customHeight="1" s="162">
      <c r="A2" s="116" t="inlineStr">
        <is>
          <t>Workflow</t>
        </is>
      </c>
      <c r="B2" s="174" t="inlineStr">
        <is>
          <t>Doctor_Dashboard</t>
        </is>
      </c>
      <c r="C2" s="175" t="n"/>
      <c r="D2" s="175" t="n"/>
      <c r="E2" s="176" t="n"/>
      <c r="F2" s="120" t="n"/>
      <c r="G2" s="121" t="n"/>
      <c r="H2" s="11" t="n"/>
      <c r="I2" s="120" t="n"/>
      <c r="J2" s="121" t="n"/>
      <c r="K2" s="11" t="n"/>
      <c r="L2" s="120" t="n"/>
      <c r="M2" s="121" t="n"/>
      <c r="N2" s="11" t="n"/>
      <c r="O2" s="11" t="n"/>
      <c r="P2" s="11" t="n"/>
      <c r="Q2" s="122" t="n"/>
      <c r="R2" s="123" t="inlineStr">
        <is>
          <t>Passed</t>
        </is>
      </c>
      <c r="S2" s="123" t="n"/>
      <c r="T2" s="123" t="n"/>
      <c r="U2" s="123" t="n"/>
      <c r="V2" s="123" t="n"/>
      <c r="W2" s="123" t="n"/>
      <c r="X2" s="123" t="n"/>
      <c r="Y2" s="123" t="n"/>
      <c r="Z2" s="123" t="n"/>
    </row>
    <row r="3" ht="12.75" customHeight="1" s="162">
      <c r="A3" s="124" t="inlineStr">
        <is>
          <t>Test requirement</t>
        </is>
      </c>
      <c r="B3" s="177" t="inlineStr">
        <is>
          <t>Verify today's appointment schedule visibility, quick search bar, and filter controls for the patient queue</t>
        </is>
      </c>
      <c r="C3" s="164" t="n"/>
      <c r="D3" s="164" t="n"/>
      <c r="E3" s="178" t="n"/>
      <c r="F3" s="120" t="n"/>
      <c r="G3" s="121" t="n"/>
      <c r="H3" s="11" t="n"/>
      <c r="I3" s="120" t="n"/>
      <c r="J3" s="121" t="n"/>
      <c r="K3" s="11" t="n"/>
      <c r="L3" s="120" t="n"/>
      <c r="M3" s="121" t="n"/>
      <c r="N3" s="11" t="n"/>
      <c r="O3" s="11" t="n"/>
      <c r="P3" s="11" t="n"/>
      <c r="Q3" s="122" t="n"/>
      <c r="R3" s="123" t="inlineStr">
        <is>
          <t>Failed</t>
        </is>
      </c>
      <c r="S3" s="123" t="n"/>
      <c r="T3" s="123" t="n"/>
      <c r="U3" s="123" t="n"/>
      <c r="V3" s="123" t="n"/>
      <c r="W3" s="123" t="n"/>
      <c r="X3" s="123" t="n"/>
      <c r="Y3" s="123" t="n"/>
      <c r="Z3" s="123" t="n"/>
    </row>
    <row r="4" ht="18" customHeight="1" s="162">
      <c r="A4" s="124" t="inlineStr">
        <is>
          <t>Number of TCs</t>
        </is>
      </c>
      <c r="B4" s="177">
        <f>COUNTIF(A12:A1000,"TC_*")</f>
        <v/>
      </c>
      <c r="C4" s="164" t="n"/>
      <c r="D4" s="164" t="n"/>
      <c r="E4" s="178" t="n"/>
      <c r="F4" s="120" t="n"/>
      <c r="G4" s="121" t="n"/>
      <c r="H4" s="11" t="n"/>
      <c r="I4" s="120" t="n"/>
      <c r="J4" s="121" t="n"/>
      <c r="K4" s="11" t="n"/>
      <c r="L4" s="120" t="n"/>
      <c r="M4" s="121" t="n"/>
      <c r="N4" s="11" t="n"/>
      <c r="O4" s="11" t="n"/>
      <c r="P4" s="11" t="n"/>
      <c r="Q4" s="122" t="n"/>
      <c r="R4" s="123" t="inlineStr">
        <is>
          <t>Pending</t>
        </is>
      </c>
      <c r="S4" s="123" t="n"/>
      <c r="T4" s="123" t="n"/>
      <c r="U4" s="123" t="n"/>
      <c r="V4" s="123" t="n"/>
      <c r="W4" s="123" t="n"/>
      <c r="X4" s="123" t="n"/>
      <c r="Y4" s="123" t="n"/>
      <c r="Z4" s="123" t="n"/>
    </row>
    <row r="5" ht="19.5" customHeight="1" s="162">
      <c r="A5" s="127" t="inlineStr">
        <is>
          <t>Testing Round</t>
        </is>
      </c>
      <c r="B5" s="128" t="inlineStr">
        <is>
          <t>Passed</t>
        </is>
      </c>
      <c r="C5" s="128" t="inlineStr">
        <is>
          <t>Failed</t>
        </is>
      </c>
      <c r="D5" s="128" t="inlineStr">
        <is>
          <t>Pending</t>
        </is>
      </c>
      <c r="E5" s="129" t="inlineStr">
        <is>
          <t>N/A</t>
        </is>
      </c>
      <c r="F5" s="130" t="n"/>
      <c r="G5" s="130" t="n"/>
      <c r="H5" s="131" t="n"/>
      <c r="I5" s="130" t="n"/>
      <c r="J5" s="130" t="n"/>
      <c r="K5" s="131" t="n"/>
      <c r="L5" s="130" t="n"/>
      <c r="M5" s="130" t="n"/>
      <c r="N5" s="131" t="n"/>
      <c r="O5" s="131" t="n"/>
      <c r="P5" s="131" t="n"/>
      <c r="Q5" s="132" t="n"/>
      <c r="R5" s="123" t="inlineStr">
        <is>
          <t>N/A</t>
        </is>
      </c>
      <c r="S5" s="123" t="n"/>
      <c r="T5" s="123" t="n"/>
      <c r="U5" s="123" t="n"/>
      <c r="V5" s="123" t="n"/>
      <c r="W5" s="123" t="n"/>
      <c r="X5" s="123" t="n"/>
      <c r="Y5" s="123" t="n"/>
      <c r="Z5" s="123" t="n"/>
    </row>
    <row r="6" ht="15" customHeight="1" s="162">
      <c r="A6" s="127" t="inlineStr">
        <is>
          <t>Round 1</t>
        </is>
      </c>
      <c r="B6" s="133">
        <f>COUNTIF($F10:$F996,B5)</f>
        <v/>
      </c>
      <c r="C6" s="133">
        <f>COUNTIF($F10:$F996,C5)</f>
        <v/>
      </c>
      <c r="D6" s="133">
        <f>COUNTIF($F10:$F996,D5)</f>
        <v/>
      </c>
      <c r="E6" s="134">
        <f>COUNTIF($F10:$F996,E5)</f>
        <v/>
      </c>
      <c r="F6" s="135" t="n"/>
      <c r="G6" s="135" t="n"/>
      <c r="H6" s="131" t="n"/>
      <c r="I6" s="135" t="n"/>
      <c r="J6" s="135" t="n"/>
      <c r="K6" s="131" t="n"/>
      <c r="L6" s="135" t="n"/>
      <c r="M6" s="135" t="n"/>
      <c r="N6" s="131" t="n"/>
      <c r="O6" s="131" t="n"/>
      <c r="P6" s="131" t="n"/>
      <c r="Q6" s="132" t="n"/>
      <c r="R6" s="123" t="n"/>
      <c r="S6" s="123" t="n"/>
      <c r="T6" s="123" t="n"/>
      <c r="U6" s="123" t="n"/>
      <c r="V6" s="123" t="n"/>
      <c r="W6" s="123" t="n"/>
      <c r="X6" s="123" t="n"/>
      <c r="Y6" s="123" t="n"/>
      <c r="Z6" s="123" t="n"/>
    </row>
    <row r="7" ht="15" customHeight="1" s="162">
      <c r="A7" s="127" t="inlineStr">
        <is>
          <t>Round 2</t>
        </is>
      </c>
      <c r="B7" s="133">
        <f>COUNTIF($F10:$F996,B5)</f>
        <v/>
      </c>
      <c r="C7" s="133">
        <f>COUNTIF($F10:$F996,C5)</f>
        <v/>
      </c>
      <c r="D7" s="133">
        <f>COUNTIF($F10:$F996,D5)</f>
        <v/>
      </c>
      <c r="E7" s="134">
        <f>COUNTIF($F10:$F996,E5)</f>
        <v/>
      </c>
      <c r="F7" s="135" t="n"/>
      <c r="G7" s="135" t="n"/>
      <c r="H7" s="131" t="n"/>
      <c r="I7" s="135" t="n"/>
      <c r="J7" s="135" t="n"/>
      <c r="K7" s="131" t="n"/>
      <c r="L7" s="135" t="n"/>
      <c r="M7" s="135" t="n"/>
      <c r="N7" s="131" t="n"/>
      <c r="O7" s="131" t="n"/>
      <c r="P7" s="131" t="n"/>
      <c r="Q7" s="132" t="n"/>
      <c r="R7" s="123" t="n"/>
      <c r="S7" s="123" t="n"/>
      <c r="T7" s="123" t="n"/>
      <c r="U7" s="123" t="n"/>
      <c r="V7" s="123" t="n"/>
      <c r="W7" s="123" t="n"/>
      <c r="X7" s="123" t="n"/>
      <c r="Y7" s="123" t="n"/>
      <c r="Z7" s="123" t="n"/>
    </row>
    <row r="8" ht="15" customHeight="1" s="162">
      <c r="A8" s="136" t="inlineStr">
        <is>
          <t>Round 3</t>
        </is>
      </c>
      <c r="B8" s="137">
        <f>COUNTIF($F10:$F996,B5)</f>
        <v/>
      </c>
      <c r="C8" s="137">
        <f>COUNTIF($F10:$F996,C5)</f>
        <v/>
      </c>
      <c r="D8" s="137">
        <f>COUNTIF($F10:$F996,D5)</f>
        <v/>
      </c>
      <c r="E8" s="138">
        <f>COUNTIF($F10:$F996,E5)</f>
        <v/>
      </c>
      <c r="F8" s="135" t="n"/>
      <c r="G8" s="135" t="n"/>
      <c r="H8" s="131" t="n"/>
      <c r="I8" s="135" t="n"/>
      <c r="J8" s="135" t="n"/>
      <c r="K8" s="131" t="n"/>
      <c r="L8" s="135" t="n"/>
      <c r="M8" s="135" t="n"/>
      <c r="N8" s="131" t="n"/>
      <c r="O8" s="131" t="n"/>
      <c r="P8" s="131" t="n"/>
      <c r="Q8" s="132" t="n"/>
      <c r="R8" s="123" t="n"/>
      <c r="S8" s="123" t="n"/>
      <c r="T8" s="123" t="n"/>
      <c r="U8" s="123" t="n"/>
      <c r="V8" s="123" t="n"/>
      <c r="W8" s="123" t="n"/>
      <c r="X8" s="123" t="n"/>
      <c r="Y8" s="123" t="n"/>
      <c r="Z8" s="123" t="n"/>
    </row>
    <row r="9" ht="15" customHeight="1" s="162">
      <c r="A9" s="131" t="n"/>
      <c r="B9" s="131" t="n"/>
      <c r="C9" s="131" t="n"/>
      <c r="D9" s="131" t="n"/>
      <c r="E9" s="131" t="n"/>
      <c r="F9" s="114" t="n"/>
      <c r="G9" s="131" t="n"/>
      <c r="H9" s="131" t="n"/>
      <c r="I9" s="114" t="n"/>
      <c r="J9" s="131" t="n"/>
      <c r="K9" s="131" t="n"/>
      <c r="L9" s="114" t="n"/>
      <c r="M9" s="131" t="n"/>
      <c r="N9" s="131" t="n"/>
      <c r="O9" s="131" t="n"/>
      <c r="P9" s="131" t="n"/>
      <c r="Q9" s="132" t="n"/>
      <c r="R9" s="123" t="n"/>
      <c r="S9" s="123" t="n"/>
      <c r="T9" s="123" t="n"/>
      <c r="U9" s="123" t="n"/>
      <c r="V9" s="123" t="n"/>
      <c r="W9" s="123" t="n"/>
      <c r="X9" s="123" t="n"/>
      <c r="Y9" s="123" t="n"/>
      <c r="Z9" s="123" t="n"/>
    </row>
    <row r="10" ht="25.5" customHeight="1" s="162">
      <c r="A10" s="139" t="inlineStr">
        <is>
          <t>Test Case ID</t>
        </is>
      </c>
      <c r="B10" s="139" t="inlineStr">
        <is>
          <t>Test Case Description</t>
        </is>
      </c>
      <c r="C10" s="139" t="inlineStr">
        <is>
          <t>Test Case Procedure</t>
        </is>
      </c>
      <c r="D10" s="139" t="inlineStr">
        <is>
          <t>Expected Results</t>
        </is>
      </c>
      <c r="E10" s="139" t="inlineStr">
        <is>
          <t>Pre-conditions</t>
        </is>
      </c>
      <c r="F10" s="139" t="inlineStr">
        <is>
          <t>Round 1</t>
        </is>
      </c>
      <c r="G10" s="139" t="inlineStr">
        <is>
          <t>Test date</t>
        </is>
      </c>
      <c r="H10" s="139" t="inlineStr">
        <is>
          <t>Tester</t>
        </is>
      </c>
      <c r="I10" s="139" t="inlineStr">
        <is>
          <t>Round 2</t>
        </is>
      </c>
      <c r="J10" s="139" t="inlineStr">
        <is>
          <t>Test date</t>
        </is>
      </c>
      <c r="K10" s="139" t="inlineStr">
        <is>
          <t>Tester</t>
        </is>
      </c>
      <c r="L10" s="139" t="inlineStr">
        <is>
          <t>Round 3</t>
        </is>
      </c>
      <c r="M10" s="139" t="inlineStr">
        <is>
          <t>Test date</t>
        </is>
      </c>
      <c r="N10" s="139" t="inlineStr">
        <is>
          <t>Tester</t>
        </is>
      </c>
      <c r="O10" s="139" t="inlineStr">
        <is>
          <t>Note</t>
        </is>
      </c>
      <c r="P10" s="123" t="n"/>
      <c r="Q10" s="140" t="n"/>
      <c r="R10" s="123" t="n"/>
      <c r="S10" s="123" t="n"/>
      <c r="T10" s="123" t="n"/>
      <c r="U10" s="123" t="n"/>
      <c r="V10" s="123" t="n"/>
      <c r="W10" s="123" t="n"/>
      <c r="X10" s="123" t="n"/>
      <c r="Y10" s="123" t="n"/>
      <c r="Z10" s="123" t="n"/>
    </row>
    <row r="11" ht="15.75" customHeight="1" s="162">
      <c r="A11" s="158" t="inlineStr">
        <is>
          <t>Scenario A</t>
        </is>
      </c>
      <c r="B11" s="158" t="inlineStr">
        <is>
          <t>Display &amp; Sort</t>
        </is>
      </c>
      <c r="C11" s="142" t="n"/>
      <c r="D11" s="142" t="n"/>
      <c r="E11" s="142" t="n"/>
      <c r="F11" s="142" t="n"/>
      <c r="G11" s="142" t="n"/>
      <c r="H11" s="142" t="n"/>
      <c r="I11" s="142" t="n"/>
      <c r="J11" s="142" t="n"/>
      <c r="K11" s="142" t="n"/>
      <c r="L11" s="142" t="n"/>
      <c r="M11" s="142" t="n"/>
      <c r="N11" s="142" t="n"/>
      <c r="O11" s="143" t="n"/>
      <c r="P11" s="123" t="n"/>
      <c r="Q11" s="144" t="n"/>
      <c r="R11" s="123" t="n"/>
      <c r="S11" s="123" t="n"/>
      <c r="T11" s="123" t="n"/>
      <c r="U11" s="123" t="n"/>
      <c r="V11" s="123" t="n"/>
      <c r="W11" s="123" t="n"/>
      <c r="X11" s="123" t="n"/>
      <c r="Y11" s="123" t="n"/>
      <c r="Z11" s="123" t="n"/>
    </row>
    <row r="12" outlineLevel="1" ht="141" customHeight="1" s="162">
      <c r="A12" s="159" t="inlineStr">
        <is>
          <t>TC_UC15_001</t>
        </is>
      </c>
      <c r="B12" s="159" t="inlineStr">
        <is>
          <t>Verify viewing the list of all patients for today</t>
        </is>
      </c>
      <c r="C12" s="159" t="inlineStr">
        <is>
          <t>1. Login to the system as a Doctor
2. Navigate to the Doctor Dashboard</t>
        </is>
      </c>
      <c r="D12" s="160" t="inlineStr">
        <is>
          <t>1. System defaults to the current day's schedule
2. The screen displays the complete list of all registered patients with appointment time and status</t>
        </is>
      </c>
      <c r="E12" s="160" t="inlineStr">
        <is>
          <t xml:space="preserve">1. Doctor account is active
2. Today's appointment list exists
</t>
        </is>
      </c>
      <c r="F12" s="155" t="inlineStr">
        <is>
          <t>Pending</t>
        </is>
      </c>
      <c r="G12" s="155" t="n"/>
      <c r="H12" s="155" t="n"/>
      <c r="I12" s="155" t="inlineStr">
        <is>
          <t>Pending</t>
        </is>
      </c>
      <c r="J12" s="155" t="n"/>
      <c r="K12" s="155" t="n"/>
      <c r="L12" s="155" t="inlineStr">
        <is>
          <t>Pending</t>
        </is>
      </c>
      <c r="M12" s="155" t="n"/>
      <c r="N12" s="155" t="n"/>
      <c r="O12" s="155" t="n"/>
      <c r="P12" s="148" t="n"/>
      <c r="Q12" s="149" t="n"/>
      <c r="R12" s="148" t="n"/>
      <c r="S12" s="148" t="n"/>
      <c r="T12" s="148" t="n"/>
      <c r="U12" s="148" t="n"/>
      <c r="V12" s="148" t="n"/>
      <c r="W12" s="148" t="n"/>
      <c r="X12" s="148" t="n"/>
      <c r="Y12" s="148" t="n"/>
      <c r="Z12" s="148" t="n"/>
    </row>
    <row r="13" outlineLevel="1" ht="141" customHeight="1" s="162">
      <c r="A13" s="159" t="inlineStr">
        <is>
          <t>TC_UC15_002</t>
        </is>
      </c>
      <c r="B13" s="159" t="inlineStr">
        <is>
          <t>Verify queue is ordered by appointment time</t>
        </is>
      </c>
      <c r="C13" s="159" t="inlineStr">
        <is>
          <t>1. Login to the system as a Doctor
2. Navigate to the Dashboard screen
3. Observe the patients' appointments listed in the queue table
4. Compare the appointment time (giờ khám) values from top to bottom</t>
        </is>
      </c>
      <c r="D13" s="159" t="inlineStr">
        <is>
          <t>1. Appointments are displayed in ascending order by appointment time</t>
        </is>
      </c>
      <c r="E13" s="159" t="inlineStr">
        <is>
          <t>1. The appointment queue is not empty</t>
        </is>
      </c>
      <c r="F13" s="155" t="inlineStr">
        <is>
          <t>Pending</t>
        </is>
      </c>
      <c r="G13" s="155" t="n"/>
      <c r="H13" s="155" t="n"/>
      <c r="I13" s="155" t="inlineStr">
        <is>
          <t>Pending</t>
        </is>
      </c>
      <c r="J13" s="155" t="n"/>
      <c r="K13" s="155" t="n"/>
      <c r="L13" s="155" t="inlineStr">
        <is>
          <t>Pending</t>
        </is>
      </c>
      <c r="M13" s="155" t="n"/>
      <c r="N13" s="155" t="n"/>
      <c r="O13" s="155" t="n"/>
      <c r="P13" s="148" t="n"/>
      <c r="Q13" s="149" t="n"/>
      <c r="R13" s="148" t="n"/>
      <c r="S13" s="148" t="n"/>
      <c r="T13" s="148" t="n"/>
      <c r="U13" s="148" t="n"/>
      <c r="V13" s="148" t="n"/>
      <c r="W13" s="148" t="n"/>
      <c r="X13" s="148" t="n"/>
      <c r="Y13" s="148" t="n"/>
      <c r="Z13" s="148" t="n"/>
    </row>
    <row r="14" ht="15.75" customHeight="1" s="162">
      <c r="A14" s="158" t="inlineStr">
        <is>
          <t>Scenario B</t>
        </is>
      </c>
      <c r="B14" s="161" t="inlineStr">
        <is>
          <t>Search &amp; Filter</t>
        </is>
      </c>
      <c r="C14" s="151" t="n"/>
      <c r="D14" s="151" t="n"/>
      <c r="E14" s="151" t="n"/>
      <c r="F14" s="151" t="n"/>
      <c r="G14" s="151" t="n"/>
      <c r="H14" s="151" t="n"/>
      <c r="I14" s="151" t="n"/>
      <c r="J14" s="151" t="n"/>
      <c r="K14" s="151" t="n"/>
      <c r="L14" s="151" t="n"/>
      <c r="M14" s="151" t="n"/>
      <c r="N14" s="151" t="n"/>
      <c r="O14" s="152" t="n"/>
      <c r="P14" s="123" t="n"/>
      <c r="Q14" s="144" t="n"/>
      <c r="R14" s="123" t="n"/>
      <c r="S14" s="123" t="n"/>
      <c r="T14" s="123" t="n"/>
      <c r="U14" s="123" t="n"/>
      <c r="V14" s="123" t="n"/>
      <c r="W14" s="123" t="n"/>
      <c r="X14" s="123" t="n"/>
      <c r="Y14" s="123" t="n"/>
      <c r="Z14" s="123" t="n"/>
    </row>
    <row r="15" outlineLevel="1" ht="79.5" customHeight="1" s="162">
      <c r="A15" s="159" t="inlineStr">
        <is>
          <t>TC_UC15_003</t>
        </is>
      </c>
      <c r="B15" s="159" t="inlineStr">
        <is>
          <t>Verify searching appointments via patient's name or phone number</t>
        </is>
      </c>
      <c r="C15" s="159" t="inlineStr">
        <is>
          <t>1. Login to the system as Doctor
2. Navigate to the Doctor Dashboard
3. Type a specific patient's name or phone number into the search bar</t>
        </is>
      </c>
      <c r="D15" s="159" t="inlineStr">
        <is>
          <t>1. The patient queue table updates instantly in real-tiime
2. Only the appointments matching the searched name or phone number are displayed</t>
        </is>
      </c>
      <c r="E15" s="159" t="inlineStr">
        <is>
          <t>1. Search bar is visible</t>
        </is>
      </c>
      <c r="F15" s="155" t="inlineStr">
        <is>
          <t>Pending</t>
        </is>
      </c>
      <c r="G15" s="155" t="n"/>
      <c r="H15" s="155" t="n"/>
      <c r="I15" s="155" t="inlineStr">
        <is>
          <t>Pending</t>
        </is>
      </c>
      <c r="J15" s="155" t="n"/>
      <c r="K15" s="155" t="n"/>
      <c r="L15" s="155" t="inlineStr">
        <is>
          <t>Pending</t>
        </is>
      </c>
      <c r="M15" s="155" t="n"/>
      <c r="N15" s="155" t="n"/>
      <c r="O15" s="155" t="n"/>
      <c r="P15" s="46" t="n"/>
      <c r="Q15" s="149" t="n"/>
      <c r="R15" s="46" t="n"/>
      <c r="S15" s="46" t="n"/>
      <c r="T15" s="46" t="n"/>
      <c r="U15" s="46" t="n"/>
      <c r="V15" s="46" t="n"/>
      <c r="W15" s="46" t="n"/>
      <c r="X15" s="46" t="n"/>
      <c r="Y15" s="46" t="n"/>
      <c r="Z15" s="46" t="n"/>
    </row>
    <row r="16" outlineLevel="1" ht="78.75" customHeight="1" s="162">
      <c r="A16" s="159" t="inlineStr">
        <is>
          <t>TC_UC15_004</t>
        </is>
      </c>
      <c r="B16" s="159" t="inlineStr">
        <is>
          <t>Verify filtering the queue by status</t>
        </is>
      </c>
      <c r="C16" s="159" t="inlineStr">
        <is>
          <t>1. Login to the system as a Doctor
2. Navigate to the Doctor Dashboard
3. Click on the status filter dropdown
4. Select a specific status</t>
        </is>
      </c>
      <c r="D16" s="159" t="inlineStr">
        <is>
          <t>1. The list filters successfully
2. The screen displays only appointments with the selected status</t>
        </is>
      </c>
      <c r="E16" s="159" t="inlineStr">
        <is>
          <t>1. Multiple statuses exist in the queue</t>
        </is>
      </c>
      <c r="F16" s="155" t="inlineStr">
        <is>
          <t>Pending</t>
        </is>
      </c>
      <c r="G16" s="153" t="n"/>
      <c r="H16" s="153" t="n"/>
      <c r="I16" s="155" t="inlineStr">
        <is>
          <t>Pending</t>
        </is>
      </c>
      <c r="J16" s="153" t="n"/>
      <c r="K16" s="153" t="n"/>
      <c r="L16" s="155" t="inlineStr">
        <is>
          <t>Pending</t>
        </is>
      </c>
      <c r="M16" s="153" t="n"/>
      <c r="N16" s="153" t="n"/>
      <c r="O16" s="153" t="n"/>
      <c r="P16" s="46" t="n"/>
      <c r="Q16" s="115" t="n"/>
      <c r="R16" s="46" t="n"/>
      <c r="S16" s="46" t="n"/>
      <c r="T16" s="46" t="n"/>
      <c r="U16" s="46" t="n"/>
      <c r="V16" s="46" t="n"/>
      <c r="W16" s="46" t="n"/>
      <c r="X16" s="46" t="n"/>
      <c r="Y16" s="46" t="n"/>
      <c r="Z16" s="46" t="n"/>
    </row>
    <row r="17" ht="15.75" customHeight="1" s="162">
      <c r="A17" s="158" t="inlineStr">
        <is>
          <t>Scenario C</t>
        </is>
      </c>
      <c r="B17" s="161" t="inlineStr">
        <is>
          <t>Access Control</t>
        </is>
      </c>
      <c r="C17" s="151" t="n"/>
      <c r="D17" s="151" t="n"/>
      <c r="E17" s="151" t="n"/>
      <c r="F17" s="151" t="n"/>
      <c r="G17" s="151" t="n"/>
      <c r="H17" s="151" t="n"/>
      <c r="I17" s="151" t="n"/>
      <c r="J17" s="151" t="n"/>
      <c r="K17" s="151" t="n"/>
      <c r="L17" s="151" t="n"/>
      <c r="M17" s="151" t="n"/>
      <c r="N17" s="151" t="n"/>
      <c r="O17" s="152" t="n"/>
      <c r="P17" s="123" t="n"/>
      <c r="Q17" s="144" t="n"/>
      <c r="R17" s="123" t="n"/>
      <c r="S17" s="123" t="n"/>
      <c r="T17" s="123" t="n"/>
      <c r="U17" s="123" t="n"/>
      <c r="V17" s="123" t="n"/>
      <c r="W17" s="123" t="n"/>
      <c r="X17" s="123" t="n"/>
      <c r="Y17" s="123" t="n"/>
      <c r="Z17" s="123" t="n"/>
    </row>
    <row r="18" ht="134.25" customHeight="1" s="162">
      <c r="A18" s="159" t="inlineStr">
        <is>
          <t>TC_UC15_005</t>
        </is>
      </c>
      <c r="B18" s="159" t="inlineStr">
        <is>
          <t>Verify doctor can only see his own list of patients</t>
        </is>
      </c>
      <c r="C18" s="159" t="inlineStr">
        <is>
          <t>1. Login as Doctor Nguyễn Văn An
2. Navigate to the Doctor Dashboard
3. Note the list of appointments in the queue
4. Log out
5. Login as Doctor Trần Thị Thơm
6. Navigate to the Doctor Dashboard
7. Note the list of appointments in the queue</t>
        </is>
      </c>
      <c r="D18" s="159" t="inlineStr">
        <is>
          <t>1. Doctor An's queue is different from Doctor Thom's one
2. Statistics (Tổng hôm nay, Đang chờ,…) reflect only that Doctor's own appointments</t>
        </is>
      </c>
      <c r="E18" s="159" t="inlineStr">
        <is>
          <t>1. At least 2 Doctor accounts exist
2. The 2 Doctors have different list of appointments</t>
        </is>
      </c>
      <c r="F18" s="154" t="inlineStr">
        <is>
          <t>Pending</t>
        </is>
      </c>
      <c r="G18" s="154" t="n"/>
      <c r="H18" s="155" t="n"/>
      <c r="I18" s="154" t="inlineStr">
        <is>
          <t>Pending</t>
        </is>
      </c>
      <c r="J18" s="154" t="n"/>
      <c r="K18" s="155" t="n"/>
      <c r="L18" s="154" t="inlineStr">
        <is>
          <t>Pending</t>
        </is>
      </c>
      <c r="M18" s="153" t="n"/>
      <c r="N18" s="46" t="n"/>
      <c r="O18" s="155" t="n"/>
      <c r="P18" s="115" t="n"/>
      <c r="Q18" s="46" t="n"/>
      <c r="R18" s="46" t="n"/>
      <c r="S18" s="46" t="n"/>
      <c r="T18" s="46" t="n"/>
      <c r="U18" s="46" t="n"/>
      <c r="V18" s="46" t="n"/>
      <c r="W18" s="46" t="n"/>
      <c r="X18" s="46" t="n"/>
      <c r="Y18" s="46" t="n"/>
    </row>
    <row r="19" ht="99" customHeight="1" s="162">
      <c r="A19" s="159" t="inlineStr">
        <is>
          <t>TC_UC15_006</t>
        </is>
      </c>
      <c r="B19" s="159" t="inlineStr">
        <is>
          <t>Verify empty state when Doctor has no appointments today</t>
        </is>
      </c>
      <c r="C19" s="159" t="inlineStr">
        <is>
          <t>1. Login as a Doctor who has no appointments today
2. Navigate to the Doctor Dashboard
3. Observe the queue table and statistic cards</t>
        </is>
      </c>
      <c r="D19" s="159" t="inlineStr">
        <is>
          <t>1. All statistic cards display 0 (except for the "Đã hủy" card)
2. The queue table displays a "Không có lịch khám hôm nay" message</t>
        </is>
      </c>
      <c r="E19" s="159" t="inlineStr">
        <is>
          <t>1. No appointments are assigned to this Doctor for today's state</t>
        </is>
      </c>
      <c r="F19" s="154" t="inlineStr">
        <is>
          <t>Pending</t>
        </is>
      </c>
      <c r="G19" s="154" t="n"/>
      <c r="H19" s="155" t="n"/>
      <c r="I19" s="154" t="inlineStr">
        <is>
          <t>Pending</t>
        </is>
      </c>
      <c r="J19" s="154" t="n"/>
      <c r="K19" s="155" t="n"/>
      <c r="L19" s="154" t="inlineStr">
        <is>
          <t>Pending</t>
        </is>
      </c>
      <c r="M19" s="153" t="n"/>
      <c r="N19" s="153" t="n"/>
      <c r="O19" s="155" t="n"/>
      <c r="P19" s="115" t="n"/>
      <c r="Q19" s="46" t="n"/>
      <c r="R19" s="46" t="n"/>
      <c r="S19" s="46" t="n"/>
      <c r="T19" s="46" t="n"/>
      <c r="U19" s="46" t="n"/>
      <c r="V19" s="46" t="n"/>
      <c r="W19" s="46" t="n"/>
      <c r="X19" s="46" t="n"/>
      <c r="Y19" s="46" t="n"/>
    </row>
    <row r="20" ht="149.25" customHeight="1" s="162">
      <c r="A20" s="159" t="inlineStr">
        <is>
          <t>TC_UC15_007</t>
        </is>
      </c>
      <c r="B20" s="159" t="inlineStr">
        <is>
          <t>Verify clicking appointment navigates to correct EMR</t>
        </is>
      </c>
      <c r="C20" s="159" t="inlineStr">
        <is>
          <t>1. Login as a Doctor
2. Navigate to the Doctor Dashboard
3. Locate an appointment with status "IN_PROGRESS" (Đang khám) or "WAITING" (Đang chờ)
4. Click the "Cập nhật HSBA" button (for IN_PROGRESS) or "Bắt đầu khám" button (for "WAITING"
5. Observing the patient's name</t>
        </is>
      </c>
      <c r="D20" s="159" t="inlineStr">
        <is>
          <t>1. The EMR page displays the correct patient name matching the selected appointment
2. Previously saved EMR data is loaded in the form</t>
        </is>
      </c>
      <c r="E20" s="159" t="inlineStr">
        <is>
          <t>1. The appointment queue is not empty</t>
        </is>
      </c>
      <c r="F20" s="154" t="inlineStr">
        <is>
          <t>Pending</t>
        </is>
      </c>
      <c r="G20" s="154" t="n"/>
      <c r="H20" s="155" t="n"/>
      <c r="I20" s="154" t="inlineStr">
        <is>
          <t>Pending</t>
        </is>
      </c>
      <c r="J20" s="154" t="n"/>
      <c r="K20" s="155" t="n"/>
      <c r="L20" s="154" t="inlineStr">
        <is>
          <t>Pending</t>
        </is>
      </c>
      <c r="M20" s="153" t="n"/>
      <c r="N20" s="153" t="n"/>
      <c r="O20" s="155" t="n"/>
      <c r="P20" s="115" t="n"/>
      <c r="Q20" s="46" t="n"/>
      <c r="R20" s="46" t="n"/>
      <c r="S20" s="46" t="n"/>
      <c r="T20" s="46" t="n"/>
      <c r="U20" s="46" t="n"/>
      <c r="V20" s="46" t="n"/>
      <c r="W20" s="46" t="n"/>
      <c r="X20" s="46" t="n"/>
      <c r="Y20" s="46" t="n"/>
    </row>
    <row r="21" ht="12.75" customHeight="1" s="162">
      <c r="A21" s="46" t="n"/>
      <c r="B21" s="46" t="n"/>
      <c r="C21" s="46" t="n"/>
      <c r="D21" s="46" t="n"/>
      <c r="E21" s="46" t="n"/>
      <c r="F21" s="46" t="n"/>
      <c r="G21" s="46" t="n"/>
      <c r="H21" s="46" t="n"/>
      <c r="I21" s="46" t="n"/>
      <c r="J21" s="46" t="n"/>
      <c r="K21" s="46" t="n"/>
      <c r="L21" s="46" t="n"/>
      <c r="M21" s="46" t="n"/>
      <c r="N21" s="46" t="n"/>
      <c r="O21" s="46" t="n"/>
      <c r="P21" s="46" t="n"/>
      <c r="Q21" s="115" t="n"/>
      <c r="R21" s="46" t="n"/>
      <c r="S21" s="46" t="n"/>
      <c r="T21" s="46" t="n"/>
      <c r="U21" s="46" t="n"/>
      <c r="V21" s="46" t="n"/>
      <c r="W21" s="46" t="n"/>
      <c r="X21" s="46" t="n"/>
      <c r="Y21" s="46" t="n"/>
      <c r="Z21" s="46" t="n"/>
    </row>
    <row r="22" ht="12.75" customHeight="1" s="162">
      <c r="A22" s="46" t="n"/>
      <c r="B22" s="46" t="n"/>
      <c r="C22" s="46" t="n"/>
      <c r="D22" s="46" t="n"/>
      <c r="E22" s="46" t="n"/>
      <c r="F22" s="46" t="n"/>
      <c r="G22" s="46" t="n"/>
      <c r="H22" s="46" t="n"/>
      <c r="I22" s="46" t="n"/>
      <c r="J22" s="46" t="n"/>
      <c r="K22" s="46" t="n"/>
      <c r="L22" s="46" t="n"/>
      <c r="M22" s="46" t="n"/>
      <c r="N22" s="46" t="n"/>
      <c r="O22" s="46" t="n"/>
      <c r="P22" s="46" t="n"/>
      <c r="Q22" s="115" t="n"/>
      <c r="R22" s="46" t="n"/>
      <c r="S22" s="46" t="n"/>
      <c r="T22" s="46" t="n"/>
      <c r="U22" s="46" t="n"/>
      <c r="V22" s="46" t="n"/>
      <c r="W22" s="46" t="n"/>
      <c r="X22" s="46" t="n"/>
      <c r="Y22" s="46" t="n"/>
      <c r="Z22" s="46" t="n"/>
    </row>
    <row r="23" ht="12.75" customHeight="1" s="162">
      <c r="A23" s="46" t="n"/>
      <c r="B23" s="46" t="n"/>
      <c r="C23" s="46" t="n"/>
      <c r="D23" s="46" t="n"/>
      <c r="E23" s="46" t="n"/>
      <c r="F23" s="46" t="n"/>
      <c r="G23" s="46" t="n"/>
      <c r="H23" s="46" t="n"/>
      <c r="I23" s="46" t="n"/>
      <c r="J23" s="46" t="n"/>
      <c r="K23" s="46" t="n"/>
      <c r="L23" s="46" t="n"/>
      <c r="M23" s="46" t="n"/>
      <c r="N23" s="46" t="n"/>
      <c r="O23" s="46" t="n"/>
      <c r="P23" s="46" t="n"/>
      <c r="Q23" s="115" t="n"/>
      <c r="R23" s="46" t="n"/>
      <c r="S23" s="46" t="n"/>
      <c r="T23" s="46" t="n"/>
      <c r="U23" s="46" t="n"/>
      <c r="V23" s="46" t="n"/>
      <c r="W23" s="46" t="n"/>
      <c r="X23" s="46" t="n"/>
      <c r="Y23" s="46" t="n"/>
      <c r="Z23" s="46" t="n"/>
    </row>
    <row r="24" ht="12.75" customHeight="1" s="162">
      <c r="A24" s="46" t="n"/>
      <c r="B24" s="46" t="n"/>
      <c r="C24" s="46" t="n"/>
      <c r="D24" s="46" t="n"/>
      <c r="E24" s="46" t="n"/>
      <c r="F24" s="46" t="n"/>
      <c r="G24" s="46" t="n"/>
      <c r="H24" s="46" t="n"/>
      <c r="I24" s="46" t="n"/>
      <c r="J24" s="46" t="n"/>
      <c r="K24" s="46" t="n"/>
      <c r="L24" s="46" t="n"/>
      <c r="M24" s="46" t="n"/>
      <c r="N24" s="46" t="n"/>
      <c r="O24" s="46" t="n"/>
      <c r="P24" s="46" t="n"/>
      <c r="Q24" s="115" t="n"/>
      <c r="R24" s="46" t="n"/>
      <c r="S24" s="46" t="n"/>
      <c r="T24" s="46" t="n"/>
      <c r="U24" s="46" t="n"/>
      <c r="V24" s="46" t="n"/>
      <c r="W24" s="46" t="n"/>
      <c r="X24" s="46" t="n"/>
      <c r="Y24" s="46" t="n"/>
      <c r="Z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115"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115"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115"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115"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115"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115"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115"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115"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115"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115"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115"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115"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115"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115"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115"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115"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115"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115"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115"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115"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115"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115"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115"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115"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115"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115"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115"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115"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115"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115"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115"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115"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115"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115"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115"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115"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115"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115"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115"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115"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115"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115"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115"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115"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115"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115"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115"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115"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115"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115"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115"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115"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115"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115"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115"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115"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115"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115"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115"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115"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115"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115"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115"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115"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115"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115"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115"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115"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115"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115"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115"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115"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115"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115"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115"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115"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115"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115"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115"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115"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115"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115"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115"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115"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115"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115"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115"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115"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115"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115"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115"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115"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115"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115"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115"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115"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115"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115"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115"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115"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115"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115"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115"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115"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115"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115"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115"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115"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115"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115"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115"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115"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115"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115"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115"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115"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115"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115"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115"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115"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115"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115"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115"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115"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115"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115"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115"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115"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115"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115"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115"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115"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115"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115"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115"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115"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115"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115"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115"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115"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115"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115"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115"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115"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115"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115"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115"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115"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115"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115"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115"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115"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115"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115"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115"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115"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115"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115"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115"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115"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115"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115"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115"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115"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115"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115"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115"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115"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115"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115"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115"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115"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115"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115"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115"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115"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115"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115"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115"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115"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115"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115"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115"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115"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115"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115"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115"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115"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115"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115"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115"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115"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115"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115"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115"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115" t="n"/>
      <c r="R220" s="46" t="n"/>
      <c r="S220" s="46" t="n"/>
      <c r="T220" s="46" t="n"/>
      <c r="U220" s="46" t="n"/>
      <c r="V220" s="46" t="n"/>
      <c r="W220" s="46" t="n"/>
      <c r="X220" s="46" t="n"/>
      <c r="Y220" s="46" t="n"/>
      <c r="Z220" s="46" t="n"/>
    </row>
    <row r="221" ht="15.75" customHeight="1" s="162"/>
    <row r="222" ht="15.75" customHeight="1" s="162"/>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3">
    <mergeCell ref="B3:E3"/>
    <mergeCell ref="B2:E2"/>
    <mergeCell ref="B4:E4"/>
  </mergeCells>
  <dataValidations count="1">
    <dataValidation sqref="F12:F20 G2:G3 G9 G21:G145 I12:I20 J2:J3 J9 J21:J145 L12:L20 M2:M3 M9 M21:M145"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Z223"/>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62" min="1" max="1"/>
    <col width="34.5" customWidth="1" style="162" min="2" max="2"/>
    <col width="33.38" customWidth="1" style="162" min="3" max="3"/>
    <col width="34.63" customWidth="1" style="162" min="4" max="4"/>
    <col width="28.38" customWidth="1" style="162" min="5" max="5"/>
    <col width="9.380000000000001" customWidth="1" style="162" min="6" max="6"/>
    <col outlineLevel="1" width="10.63" customWidth="1" style="162" min="7" max="7"/>
    <col outlineLevel="1" width="7" customWidth="1" style="162" min="8" max="8"/>
    <col width="9.380000000000001" customWidth="1" style="162" min="9" max="9"/>
    <col outlineLevel="1" width="10.63" customWidth="1" style="162" min="10" max="10"/>
    <col outlineLevel="1" width="7" customWidth="1" style="162" min="11" max="11"/>
    <col width="9.380000000000001" customWidth="1" style="162" min="12" max="12"/>
    <col outlineLevel="1" width="10.63" customWidth="1" style="162" min="13" max="13"/>
    <col outlineLevel="1" width="7" customWidth="1" style="162" min="14" max="14"/>
    <col width="28.63" customWidth="1" style="162" min="15" max="15"/>
    <col width="10.13" customWidth="1" style="162" min="16" max="16"/>
    <col width="8.130000000000001" customWidth="1" style="162" min="17" max="17"/>
    <col hidden="1" width="7.63" customWidth="1" style="162" min="18" max="18"/>
    <col width="9" customWidth="1" style="162" min="19" max="26"/>
  </cols>
  <sheetData>
    <row r="1" ht="12.75" customHeight="1" s="162">
      <c r="A1" s="46" t="n"/>
      <c r="B1" s="46" t="n"/>
      <c r="C1" s="46" t="n"/>
      <c r="D1" s="46" t="n"/>
      <c r="E1" s="46" t="n"/>
      <c r="F1" s="46" t="n"/>
      <c r="G1" s="46" t="n"/>
      <c r="H1" s="46" t="n"/>
      <c r="I1" s="46" t="n"/>
      <c r="J1" s="46" t="n"/>
      <c r="K1" s="46" t="n"/>
      <c r="L1" s="46" t="n"/>
      <c r="M1" s="46" t="n"/>
      <c r="N1" s="46" t="n"/>
      <c r="O1" s="46" t="n"/>
      <c r="P1" s="46" t="n"/>
      <c r="Q1" s="115" t="n"/>
      <c r="R1" s="46" t="n"/>
      <c r="S1" s="46" t="n"/>
      <c r="T1" s="46" t="n"/>
      <c r="U1" s="46" t="n"/>
      <c r="V1" s="46" t="n"/>
      <c r="W1" s="46" t="n"/>
      <c r="X1" s="46" t="n"/>
      <c r="Y1" s="46" t="n"/>
      <c r="Z1" s="46" t="n"/>
    </row>
    <row r="2" ht="15" customHeight="1" s="162">
      <c r="A2" s="116" t="inlineStr">
        <is>
          <t>Workflow</t>
        </is>
      </c>
      <c r="B2" s="174" t="inlineStr">
        <is>
          <t>EMR_Management</t>
        </is>
      </c>
      <c r="C2" s="175" t="n"/>
      <c r="D2" s="175" t="n"/>
      <c r="E2" s="176" t="n"/>
      <c r="F2" s="120" t="n"/>
      <c r="G2" s="121" t="n"/>
      <c r="H2" s="11" t="n"/>
      <c r="I2" s="120" t="n"/>
      <c r="J2" s="121" t="n"/>
      <c r="K2" s="11" t="n"/>
      <c r="L2" s="120" t="n"/>
      <c r="M2" s="121" t="n"/>
      <c r="N2" s="11" t="n"/>
      <c r="O2" s="11" t="n"/>
      <c r="P2" s="11" t="n"/>
      <c r="Q2" s="122" t="n"/>
      <c r="R2" s="123" t="inlineStr">
        <is>
          <t>Passed</t>
        </is>
      </c>
      <c r="S2" s="123" t="n"/>
      <c r="T2" s="123" t="n"/>
      <c r="U2" s="123" t="n"/>
      <c r="V2" s="123" t="n"/>
      <c r="W2" s="123" t="n"/>
      <c r="X2" s="123" t="n"/>
      <c r="Y2" s="123" t="n"/>
      <c r="Z2" s="123" t="n"/>
    </row>
    <row r="3" ht="12.75" customHeight="1" s="162">
      <c r="A3" s="124" t="inlineStr">
        <is>
          <t>Test requirement</t>
        </is>
      </c>
      <c r="B3" s="177" t="inlineStr">
        <is>
          <t>Verify the complete clinical visit lifecycle: viewing history, initiating examination, saving drafts, updating and finalizing EMR</t>
        </is>
      </c>
      <c r="C3" s="164" t="n"/>
      <c r="D3" s="164" t="n"/>
      <c r="E3" s="178" t="n"/>
      <c r="F3" s="120" t="n"/>
      <c r="G3" s="121" t="n"/>
      <c r="H3" s="11" t="n"/>
      <c r="I3" s="120" t="n"/>
      <c r="J3" s="121" t="n"/>
      <c r="K3" s="11" t="n"/>
      <c r="L3" s="120" t="n"/>
      <c r="M3" s="121" t="n"/>
      <c r="N3" s="11" t="n"/>
      <c r="O3" s="11" t="n"/>
      <c r="P3" s="11" t="n"/>
      <c r="Q3" s="122" t="n"/>
      <c r="R3" s="123" t="inlineStr">
        <is>
          <t>Failed</t>
        </is>
      </c>
      <c r="S3" s="123" t="n"/>
      <c r="T3" s="123" t="n"/>
      <c r="U3" s="123" t="n"/>
      <c r="V3" s="123" t="n"/>
      <c r="W3" s="123" t="n"/>
      <c r="X3" s="123" t="n"/>
      <c r="Y3" s="123" t="n"/>
      <c r="Z3" s="123" t="n"/>
    </row>
    <row r="4" ht="18" customHeight="1" s="162">
      <c r="A4" s="124" t="inlineStr">
        <is>
          <t>Number of TCs</t>
        </is>
      </c>
      <c r="B4" s="177">
        <f>COUNTIF(A12:A1001,"TC_*")</f>
        <v/>
      </c>
      <c r="C4" s="164" t="n"/>
      <c r="D4" s="164" t="n"/>
      <c r="E4" s="178" t="n"/>
      <c r="F4" s="120" t="n"/>
      <c r="G4" s="121" t="n"/>
      <c r="H4" s="11" t="n"/>
      <c r="I4" s="120" t="n"/>
      <c r="J4" s="121" t="n"/>
      <c r="K4" s="11" t="n"/>
      <c r="L4" s="120" t="n"/>
      <c r="M4" s="121" t="n"/>
      <c r="N4" s="11" t="n"/>
      <c r="O4" s="11" t="n"/>
      <c r="P4" s="11" t="n"/>
      <c r="Q4" s="122" t="n"/>
      <c r="R4" s="123" t="inlineStr">
        <is>
          <t>Pending</t>
        </is>
      </c>
      <c r="S4" s="123" t="n"/>
      <c r="T4" s="123" t="n"/>
      <c r="U4" s="123" t="n"/>
      <c r="V4" s="123" t="n"/>
      <c r="W4" s="123" t="n"/>
      <c r="X4" s="123" t="n"/>
      <c r="Y4" s="123" t="n"/>
      <c r="Z4" s="123" t="n"/>
    </row>
    <row r="5" ht="19.5" customHeight="1" s="162">
      <c r="A5" s="127" t="inlineStr">
        <is>
          <t>Testing Round</t>
        </is>
      </c>
      <c r="B5" s="128" t="inlineStr">
        <is>
          <t>Passed</t>
        </is>
      </c>
      <c r="C5" s="128" t="inlineStr">
        <is>
          <t>Failed</t>
        </is>
      </c>
      <c r="D5" s="128" t="inlineStr">
        <is>
          <t>Pending</t>
        </is>
      </c>
      <c r="E5" s="129" t="inlineStr">
        <is>
          <t>N/A</t>
        </is>
      </c>
      <c r="F5" s="130" t="n"/>
      <c r="G5" s="130" t="n"/>
      <c r="H5" s="131" t="n"/>
      <c r="I5" s="130" t="n"/>
      <c r="J5" s="130" t="n"/>
      <c r="K5" s="131" t="n"/>
      <c r="L5" s="130" t="n"/>
      <c r="M5" s="130" t="n"/>
      <c r="N5" s="131" t="n"/>
      <c r="O5" s="131" t="n"/>
      <c r="P5" s="131" t="n"/>
      <c r="Q5" s="132" t="n"/>
      <c r="R5" s="123" t="inlineStr">
        <is>
          <t>N/A</t>
        </is>
      </c>
      <c r="S5" s="123" t="n"/>
      <c r="T5" s="123" t="n"/>
      <c r="U5" s="123" t="n"/>
      <c r="V5" s="123" t="n"/>
      <c r="W5" s="123" t="n"/>
      <c r="X5" s="123" t="n"/>
      <c r="Y5" s="123" t="n"/>
      <c r="Z5" s="123" t="n"/>
    </row>
    <row r="6" ht="15" customHeight="1" s="162">
      <c r="A6" s="127" t="inlineStr">
        <is>
          <t>Round 1</t>
        </is>
      </c>
      <c r="B6" s="133">
        <f>COUNTIF($F10:$F994,B5)</f>
        <v/>
      </c>
      <c r="C6" s="133">
        <f>COUNTIF($F10:$F994,C5)</f>
        <v/>
      </c>
      <c r="D6" s="133">
        <f>COUNTIF($F10:$F997,D5)</f>
        <v/>
      </c>
      <c r="E6" s="134">
        <f>COUNTIF($F10:$F994,E5)</f>
        <v/>
      </c>
      <c r="F6" s="135" t="n"/>
      <c r="G6" s="135" t="n"/>
      <c r="H6" s="131" t="n"/>
      <c r="I6" s="135" t="n"/>
      <c r="J6" s="135" t="n"/>
      <c r="K6" s="131" t="n"/>
      <c r="L6" s="135" t="n"/>
      <c r="M6" s="135" t="n"/>
      <c r="N6" s="131" t="n"/>
      <c r="O6" s="131" t="n"/>
      <c r="P6" s="131" t="n"/>
      <c r="Q6" s="132" t="n"/>
      <c r="R6" s="123" t="n"/>
      <c r="S6" s="123" t="n"/>
      <c r="T6" s="123" t="n"/>
      <c r="U6" s="123" t="n"/>
      <c r="V6" s="123" t="n"/>
      <c r="W6" s="123" t="n"/>
      <c r="X6" s="123" t="n"/>
      <c r="Y6" s="123" t="n"/>
      <c r="Z6" s="123" t="n"/>
    </row>
    <row r="7" ht="15" customHeight="1" s="162">
      <c r="A7" s="127" t="inlineStr">
        <is>
          <t>Round 2</t>
        </is>
      </c>
      <c r="B7" s="133">
        <f>COUNTIF($F10:$F994,B5)</f>
        <v/>
      </c>
      <c r="C7" s="133">
        <f>COUNTIF($F10:$F994,C5)</f>
        <v/>
      </c>
      <c r="D7" s="133">
        <f>COUNTIF($F10:$F994,D5)</f>
        <v/>
      </c>
      <c r="E7" s="134">
        <f>COUNTIF($F10:$F994,E5)</f>
        <v/>
      </c>
      <c r="F7" s="135" t="n"/>
      <c r="G7" s="135" t="n"/>
      <c r="H7" s="131" t="n"/>
      <c r="I7" s="135" t="n"/>
      <c r="J7" s="135" t="n"/>
      <c r="K7" s="131" t="n"/>
      <c r="L7" s="135" t="n"/>
      <c r="M7" s="135" t="n"/>
      <c r="N7" s="131" t="n"/>
      <c r="O7" s="131" t="n"/>
      <c r="P7" s="131" t="n"/>
      <c r="Q7" s="132" t="n"/>
      <c r="R7" s="123" t="n"/>
      <c r="S7" s="123" t="n"/>
      <c r="T7" s="123" t="n"/>
      <c r="U7" s="123" t="n"/>
      <c r="V7" s="123" t="n"/>
      <c r="W7" s="123" t="n"/>
      <c r="X7" s="123" t="n"/>
      <c r="Y7" s="123" t="n"/>
      <c r="Z7" s="123" t="n"/>
    </row>
    <row r="8" ht="15" customHeight="1" s="162">
      <c r="A8" s="136" t="inlineStr">
        <is>
          <t>Round 3</t>
        </is>
      </c>
      <c r="B8" s="137">
        <f>COUNTIF($F10:$F994,B5)</f>
        <v/>
      </c>
      <c r="C8" s="137">
        <f>COUNTIF($F10:$F994,C5)</f>
        <v/>
      </c>
      <c r="D8" s="137">
        <f>COUNTIF($F10:$F994,D5)</f>
        <v/>
      </c>
      <c r="E8" s="138">
        <f>COUNTIF($F10:$F994,E5)</f>
        <v/>
      </c>
      <c r="F8" s="135" t="n"/>
      <c r="G8" s="135" t="n"/>
      <c r="H8" s="131" t="n"/>
      <c r="I8" s="135" t="n"/>
      <c r="J8" s="135" t="n"/>
      <c r="K8" s="131" t="n"/>
      <c r="L8" s="135" t="n"/>
      <c r="M8" s="135" t="n"/>
      <c r="N8" s="131" t="n"/>
      <c r="O8" s="131" t="n"/>
      <c r="P8" s="131" t="n"/>
      <c r="Q8" s="132" t="n"/>
      <c r="R8" s="123" t="n"/>
      <c r="S8" s="123" t="n"/>
      <c r="T8" s="123" t="n"/>
      <c r="U8" s="123" t="n"/>
      <c r="V8" s="123" t="n"/>
      <c r="W8" s="123" t="n"/>
      <c r="X8" s="123" t="n"/>
      <c r="Y8" s="123" t="n"/>
      <c r="Z8" s="123" t="n"/>
    </row>
    <row r="9" ht="15" customHeight="1" s="162">
      <c r="A9" s="131" t="n"/>
      <c r="B9" s="131" t="n"/>
      <c r="C9" s="131" t="n"/>
      <c r="D9" s="131" t="n"/>
      <c r="E9" s="131" t="n"/>
      <c r="F9" s="114" t="n"/>
      <c r="G9" s="131" t="n"/>
      <c r="H9" s="131" t="n"/>
      <c r="I9" s="114" t="n"/>
      <c r="J9" s="131" t="n"/>
      <c r="K9" s="131" t="n"/>
      <c r="L9" s="114" t="n"/>
      <c r="M9" s="131" t="n"/>
      <c r="N9" s="131" t="n"/>
      <c r="O9" s="131" t="n"/>
      <c r="P9" s="131" t="n"/>
      <c r="Q9" s="132" t="n"/>
      <c r="R9" s="123" t="n"/>
      <c r="S9" s="123" t="n"/>
      <c r="T9" s="123" t="n"/>
      <c r="U9" s="123" t="n"/>
      <c r="V9" s="123" t="n"/>
      <c r="W9" s="123" t="n"/>
      <c r="X9" s="123" t="n"/>
      <c r="Y9" s="123" t="n"/>
      <c r="Z9" s="123" t="n"/>
    </row>
    <row r="10" ht="25.5" customHeight="1" s="162">
      <c r="A10" s="139" t="inlineStr">
        <is>
          <t>Test Case ID</t>
        </is>
      </c>
      <c r="B10" s="139" t="inlineStr">
        <is>
          <t>Test Case Description</t>
        </is>
      </c>
      <c r="C10" s="139" t="inlineStr">
        <is>
          <t>Test Case Procedure</t>
        </is>
      </c>
      <c r="D10" s="139" t="inlineStr">
        <is>
          <t>Expected Results</t>
        </is>
      </c>
      <c r="E10" s="139" t="inlineStr">
        <is>
          <t>Pre-conditions</t>
        </is>
      </c>
      <c r="F10" s="139" t="inlineStr">
        <is>
          <t>Round 1</t>
        </is>
      </c>
      <c r="G10" s="139" t="inlineStr">
        <is>
          <t>Test date</t>
        </is>
      </c>
      <c r="H10" s="139" t="inlineStr">
        <is>
          <t>Tester</t>
        </is>
      </c>
      <c r="I10" s="139" t="inlineStr">
        <is>
          <t>Round 2</t>
        </is>
      </c>
      <c r="J10" s="139" t="inlineStr">
        <is>
          <t>Test date</t>
        </is>
      </c>
      <c r="K10" s="139" t="inlineStr">
        <is>
          <t>Tester</t>
        </is>
      </c>
      <c r="L10" s="139" t="inlineStr">
        <is>
          <t>Round 3</t>
        </is>
      </c>
      <c r="M10" s="139" t="inlineStr">
        <is>
          <t>Test date</t>
        </is>
      </c>
      <c r="N10" s="139" t="inlineStr">
        <is>
          <t>Tester</t>
        </is>
      </c>
      <c r="O10" s="139" t="inlineStr">
        <is>
          <t>Note</t>
        </is>
      </c>
      <c r="P10" s="123" t="n"/>
      <c r="Q10" s="140" t="n"/>
      <c r="R10" s="123" t="n"/>
      <c r="S10" s="123" t="n"/>
      <c r="T10" s="123" t="n"/>
      <c r="U10" s="123" t="n"/>
      <c r="V10" s="123" t="n"/>
      <c r="W10" s="123" t="n"/>
      <c r="X10" s="123" t="n"/>
      <c r="Y10" s="123" t="n"/>
      <c r="Z10" s="123" t="n"/>
    </row>
    <row r="11" ht="15.75" customHeight="1" s="162">
      <c r="A11" s="158" t="inlineStr">
        <is>
          <t>Scenario D</t>
        </is>
      </c>
      <c r="B11" s="158" t="inlineStr">
        <is>
          <t>Open &amp; View EMR</t>
        </is>
      </c>
      <c r="C11" s="142" t="n"/>
      <c r="D11" s="142" t="n"/>
      <c r="E11" s="142" t="n"/>
      <c r="F11" s="142" t="n"/>
      <c r="G11" s="142" t="n"/>
      <c r="H11" s="142" t="n"/>
      <c r="I11" s="142" t="n"/>
      <c r="J11" s="142" t="n"/>
      <c r="K11" s="142" t="n"/>
      <c r="L11" s="142" t="n"/>
      <c r="M11" s="142" t="n"/>
      <c r="N11" s="142" t="n"/>
      <c r="O11" s="143" t="n"/>
      <c r="P11" s="123" t="n"/>
      <c r="Q11" s="144" t="n"/>
      <c r="R11" s="123" t="n"/>
      <c r="S11" s="123" t="n"/>
      <c r="T11" s="123" t="n"/>
      <c r="U11" s="123" t="n"/>
      <c r="V11" s="123" t="n"/>
      <c r="W11" s="123" t="n"/>
      <c r="X11" s="123" t="n"/>
      <c r="Y11" s="123" t="n"/>
      <c r="Z11" s="123" t="n"/>
    </row>
    <row r="12" outlineLevel="1" ht="120" customHeight="1" s="162">
      <c r="A12" s="159" t="inlineStr">
        <is>
          <t>TC_UC22_001</t>
        </is>
      </c>
      <c r="B12" s="159" t="inlineStr">
        <is>
          <t>Verify Doctor can view completed EMR records</t>
        </is>
      </c>
      <c r="C12" s="159" t="inlineStr">
        <is>
          <t>1. Login as Doctor
2. Navigate to the "Hồ sơ bệnh án" screen
3. Select a medical record from the list
4. Click on the button "Xem chi tiết"</t>
        </is>
      </c>
      <c r="D12" s="160" t="inlineStr">
        <is>
          <t>1. The screen displays a chronological list of historical EMRs
2. All historical data fields are read-only</t>
        </is>
      </c>
      <c r="E12" s="160" t="inlineStr">
        <is>
          <t xml:space="preserve">1. EMR table in the database is not empty
</t>
        </is>
      </c>
      <c r="F12" s="155" t="inlineStr">
        <is>
          <t>Pending</t>
        </is>
      </c>
      <c r="G12" s="155" t="n"/>
      <c r="H12" s="155" t="n"/>
      <c r="I12" s="155" t="inlineStr">
        <is>
          <t>Pending</t>
        </is>
      </c>
      <c r="J12" s="155" t="n"/>
      <c r="K12" s="155" t="n"/>
      <c r="L12" s="155" t="inlineStr">
        <is>
          <t>Pending</t>
        </is>
      </c>
      <c r="M12" s="155" t="n"/>
      <c r="N12" s="155" t="n"/>
      <c r="O12" s="155" t="n"/>
      <c r="P12" s="148" t="n"/>
      <c r="Q12" s="149" t="n"/>
      <c r="R12" s="148" t="n"/>
      <c r="S12" s="148" t="n"/>
      <c r="T12" s="148" t="n"/>
      <c r="U12" s="148" t="n"/>
      <c r="V12" s="148" t="n"/>
      <c r="W12" s="148" t="n"/>
      <c r="X12" s="148" t="n"/>
      <c r="Y12" s="148" t="n"/>
      <c r="Z12" s="148" t="n"/>
    </row>
    <row r="13" outlineLevel="1" ht="18" customHeight="1" s="162">
      <c r="A13" s="158" t="inlineStr">
        <is>
          <t>Scenario E</t>
        </is>
      </c>
      <c r="B13" s="158" t="inlineStr">
        <is>
          <t>Create EMR</t>
        </is>
      </c>
      <c r="C13" s="142" t="n"/>
      <c r="D13" s="142" t="n"/>
      <c r="E13" s="142" t="n"/>
      <c r="F13" s="142" t="n"/>
      <c r="G13" s="142" t="n"/>
      <c r="H13" s="142" t="n"/>
      <c r="I13" s="142" t="n"/>
      <c r="J13" s="142" t="n"/>
      <c r="K13" s="142" t="n"/>
      <c r="L13" s="142" t="n"/>
      <c r="M13" s="142" t="n"/>
      <c r="N13" s="142" t="n"/>
      <c r="O13" s="143" t="n"/>
      <c r="P13" s="148" t="n"/>
      <c r="Q13" s="149" t="n"/>
      <c r="R13" s="148" t="n"/>
      <c r="S13" s="148" t="n"/>
      <c r="T13" s="148" t="n"/>
      <c r="U13" s="148" t="n"/>
      <c r="V13" s="148" t="n"/>
      <c r="W13" s="148" t="n"/>
      <c r="X13" s="148" t="n"/>
      <c r="Y13" s="148" t="n"/>
      <c r="Z13" s="148" t="n"/>
    </row>
    <row r="14" ht="116.25" customHeight="1" s="162">
      <c r="A14" s="159" t="inlineStr">
        <is>
          <t>TC_UC19_001</t>
        </is>
      </c>
      <c r="B14" s="159" t="inlineStr">
        <is>
          <t>Verify Doctor can create a new EMR corresponding with an appointment</t>
        </is>
      </c>
      <c r="C14" s="159" t="inlineStr">
        <is>
          <t>1. Login as Doctor
2. Navigate to the Doctor Dashboard
3. Select an appointment with "WAITING" status
4. Click on the button "Bắt đầu khám"</t>
        </is>
      </c>
      <c r="D14" s="160" t="inlineStr">
        <is>
          <t>1. The system navigates to "Hồ sơ bệnh án"
2. An empty EMR is created and ready for data input</t>
        </is>
      </c>
      <c r="E14" s="160" t="inlineStr">
        <is>
          <t xml:space="preserve">1. There exists some appointment with "WAITING" status in Doctor Dashboard
</t>
        </is>
      </c>
      <c r="F14" s="155" t="inlineStr">
        <is>
          <t>Pending</t>
        </is>
      </c>
      <c r="G14" s="155" t="n"/>
      <c r="H14" s="155" t="n"/>
      <c r="I14" s="155" t="inlineStr">
        <is>
          <t>Pending</t>
        </is>
      </c>
      <c r="J14" s="155" t="n"/>
      <c r="K14" s="155" t="n"/>
      <c r="L14" s="155" t="inlineStr">
        <is>
          <t>Pending</t>
        </is>
      </c>
      <c r="M14" s="155" t="n"/>
      <c r="N14" s="155" t="n"/>
      <c r="O14" s="155" t="n"/>
      <c r="P14" s="123" t="n"/>
      <c r="Q14" s="144" t="n"/>
      <c r="R14" s="123" t="n"/>
      <c r="S14" s="123" t="n"/>
      <c r="T14" s="123" t="n"/>
      <c r="U14" s="123" t="n"/>
      <c r="V14" s="123" t="n"/>
      <c r="W14" s="123" t="n"/>
      <c r="X14" s="123" t="n"/>
      <c r="Y14" s="123" t="n"/>
      <c r="Z14" s="123" t="n"/>
    </row>
    <row r="15" outlineLevel="1" ht="22.5" customHeight="1" s="162">
      <c r="A15" s="158" t="inlineStr">
        <is>
          <t>Scenario F</t>
        </is>
      </c>
      <c r="B15" s="158" t="inlineStr">
        <is>
          <t>Save Draft EMR (Update EMR)</t>
        </is>
      </c>
      <c r="C15" s="142" t="n"/>
      <c r="D15" s="142" t="n"/>
      <c r="E15" s="142" t="n"/>
      <c r="F15" s="142" t="n"/>
      <c r="G15" s="142" t="n"/>
      <c r="H15" s="142" t="n"/>
      <c r="I15" s="142" t="n"/>
      <c r="J15" s="142" t="n"/>
      <c r="K15" s="142" t="n"/>
      <c r="L15" s="142" t="n"/>
      <c r="M15" s="142" t="n"/>
      <c r="N15" s="142" t="n"/>
      <c r="O15" s="143" t="n"/>
      <c r="P15" s="46" t="n"/>
      <c r="Q15" s="115" t="n"/>
      <c r="R15" s="46" t="n"/>
      <c r="S15" s="46" t="n"/>
      <c r="T15" s="46" t="n"/>
      <c r="U15" s="46" t="n"/>
      <c r="V15" s="46" t="n"/>
      <c r="W15" s="46" t="n"/>
      <c r="X15" s="46" t="n"/>
      <c r="Y15" s="46" t="n"/>
      <c r="Z15" s="46" t="n"/>
    </row>
    <row r="16" ht="104.25" customHeight="1" s="162">
      <c r="A16" s="159" t="inlineStr">
        <is>
          <t>TC_UC19_002</t>
        </is>
      </c>
      <c r="B16" s="159" t="inlineStr">
        <is>
          <t>Verify saving EMR data as a draft</t>
        </is>
      </c>
      <c r="C16" s="159" t="inlineStr">
        <is>
          <t>1. Login as Doctor
2. Navigate to the Doctor Dashboard
3. Select an appointment with "WAITING" (Đang chờ) status 
4. Input initial symptoms, vital signs, and clinical notes
5. Click the "Lưu nháp" button</t>
        </is>
      </c>
      <c r="D16" s="160" t="inlineStr">
        <is>
          <t>1. System saves data successfully
2. Appointment status is "In Progress" (Đang khám)
3. Success notification is displayed
4. The system navigates to the Doctor Dashboard automatically</t>
        </is>
      </c>
      <c r="E16" s="160" t="inlineStr">
        <is>
          <t>1. There are appointments in the queue with "WAITING" status</t>
        </is>
      </c>
      <c r="F16" s="155" t="inlineStr">
        <is>
          <t>Pending</t>
        </is>
      </c>
      <c r="G16" s="155" t="n"/>
      <c r="H16" s="155" t="n"/>
      <c r="I16" s="155" t="inlineStr">
        <is>
          <t>Pending</t>
        </is>
      </c>
      <c r="J16" s="155" t="n"/>
      <c r="K16" s="155" t="n"/>
      <c r="L16" s="155" t="inlineStr">
        <is>
          <t>Pending</t>
        </is>
      </c>
      <c r="M16" s="155" t="n"/>
      <c r="N16" s="155" t="n"/>
      <c r="O16" s="155" t="n"/>
      <c r="P16" s="46" t="n"/>
      <c r="Q16" s="115" t="n"/>
      <c r="R16" s="46" t="n"/>
      <c r="S16" s="46" t="n"/>
      <c r="T16" s="46" t="n"/>
      <c r="U16" s="46" t="n"/>
      <c r="V16" s="46" t="n"/>
      <c r="W16" s="46" t="n"/>
      <c r="X16" s="46" t="n"/>
      <c r="Y16" s="46" t="n"/>
      <c r="Z16" s="46" t="n"/>
    </row>
    <row r="17" ht="123" customHeight="1" s="162">
      <c r="A17" s="159" t="inlineStr">
        <is>
          <t>TC_UC19_003</t>
        </is>
      </c>
      <c r="B17" s="159" t="inlineStr">
        <is>
          <t>Verify updating information in a draft EMR</t>
        </is>
      </c>
      <c r="C17" s="159" t="inlineStr">
        <is>
          <t>1. Login as Doctor
2. Navigate to the Doctor Dashboard
3. Select an appointment with "IN_PROGRESS" (Đang khám) status
4. Re-open the saved draft EMR form by clicking "Tiếp tục khám" button
5. Edit clinical fields
6. Click "Lưu nháp" button</t>
        </is>
      </c>
      <c r="D17" s="160" t="inlineStr">
        <is>
          <t>1. The new information replaces the old information
2. Success notification is displayed
3. The system navigates to the Doctor Dashboard automatically</t>
        </is>
      </c>
      <c r="E17" s="160" t="inlineStr">
        <is>
          <t>1. The patient's appoinment is still in "In Progress" (Đang khám) status</t>
        </is>
      </c>
      <c r="F17" s="155" t="inlineStr">
        <is>
          <t>Pending</t>
        </is>
      </c>
      <c r="G17" s="155" t="n"/>
      <c r="H17" s="155" t="n"/>
      <c r="I17" s="155" t="inlineStr">
        <is>
          <t>Pending</t>
        </is>
      </c>
      <c r="J17" s="155" t="n"/>
      <c r="K17" s="155" t="n"/>
      <c r="L17" s="155" t="inlineStr">
        <is>
          <t>Pending</t>
        </is>
      </c>
      <c r="M17" s="155" t="n"/>
      <c r="N17" s="155" t="n"/>
      <c r="O17" s="155" t="n"/>
      <c r="P17" s="46" t="n"/>
      <c r="Q17" s="115" t="n"/>
      <c r="R17" s="46" t="n"/>
      <c r="S17" s="46" t="n"/>
      <c r="T17" s="46" t="n"/>
      <c r="U17" s="46" t="n"/>
      <c r="V17" s="46" t="n"/>
      <c r="W17" s="46" t="n"/>
      <c r="X17" s="46" t="n"/>
      <c r="Y17" s="46" t="n"/>
      <c r="Z17" s="46" t="n"/>
    </row>
    <row r="18" ht="25.5" customHeight="1" s="162">
      <c r="A18" s="158" t="inlineStr">
        <is>
          <t>Scenario G</t>
        </is>
      </c>
      <c r="B18" s="158" t="inlineStr">
        <is>
          <t>Finalize EMR</t>
        </is>
      </c>
      <c r="C18" s="142" t="n"/>
      <c r="D18" s="142" t="n"/>
      <c r="E18" s="142" t="n"/>
      <c r="F18" s="142" t="n"/>
      <c r="G18" s="142" t="n"/>
      <c r="H18" s="142" t="n"/>
      <c r="I18" s="142" t="n"/>
      <c r="J18" s="142" t="n"/>
      <c r="K18" s="142" t="n"/>
      <c r="L18" s="142" t="n"/>
      <c r="M18" s="142" t="n"/>
      <c r="N18" s="142" t="n"/>
      <c r="O18" s="143" t="n"/>
      <c r="P18" s="115" t="n"/>
      <c r="Q18" s="46" t="n"/>
      <c r="R18" s="46" t="n"/>
      <c r="S18" s="46" t="n"/>
      <c r="T18" s="46" t="n"/>
      <c r="U18" s="46" t="n"/>
      <c r="V18" s="46" t="n"/>
      <c r="W18" s="46" t="n"/>
      <c r="X18" s="46" t="n"/>
      <c r="Y18" s="46" t="n"/>
    </row>
    <row r="19" ht="116.25" customHeight="1" s="162">
      <c r="A19" s="159" t="inlineStr">
        <is>
          <t>TC_UC19_004</t>
        </is>
      </c>
      <c r="B19" s="159" t="inlineStr">
        <is>
          <t xml:space="preserve">Verify finalizing examination </t>
        </is>
      </c>
      <c r="C19" s="159" t="inlineStr">
        <is>
          <t>1. Login as Doctor
2. Navigate to the Doctor Dashboard
3. Open the draft EMR form / Open a new EMR with appointment status "Waiting" (Đang chờ)
4. Click the "Hoàn thành khám" button</t>
        </is>
      </c>
      <c r="D19" s="160" t="inlineStr">
        <is>
          <t>1. The newest data fields are saved into the database
2. The system displays a success confirmation message
3. The system automatically navigates to Doctor Dashboard</t>
        </is>
      </c>
      <c r="E19" s="160" t="inlineStr">
        <is>
          <t xml:space="preserve">1. Patient's appointment status is either "Waiting" (Đang chờ) or "In Progress" (Đang khám)
</t>
        </is>
      </c>
      <c r="F19" s="155" t="inlineStr">
        <is>
          <t>Pending</t>
        </is>
      </c>
      <c r="G19" s="155" t="n"/>
      <c r="H19" s="155" t="n"/>
      <c r="I19" s="155" t="inlineStr">
        <is>
          <t>Pending</t>
        </is>
      </c>
      <c r="J19" s="155" t="n"/>
      <c r="K19" s="155" t="n"/>
      <c r="L19" s="155" t="inlineStr">
        <is>
          <t>Pending</t>
        </is>
      </c>
      <c r="M19" s="155" t="n"/>
      <c r="N19" s="155" t="n"/>
      <c r="O19" s="155" t="n"/>
      <c r="P19" s="115" t="n"/>
      <c r="Q19" s="46" t="n"/>
      <c r="R19" s="46" t="n"/>
      <c r="S19" s="46" t="n"/>
      <c r="T19" s="46" t="n"/>
      <c r="U19" s="46" t="n"/>
      <c r="V19" s="46" t="n"/>
      <c r="W19" s="46" t="n"/>
      <c r="X19" s="46" t="n"/>
      <c r="Y19" s="46" t="n"/>
    </row>
    <row r="20" ht="18.75" customHeight="1" s="162">
      <c r="A20" s="158" t="inlineStr">
        <is>
          <t>Scenario H</t>
        </is>
      </c>
      <c r="B20" s="158" t="inlineStr">
        <is>
          <t>Access Control</t>
        </is>
      </c>
      <c r="C20" s="142" t="n"/>
      <c r="D20" s="142" t="n"/>
      <c r="E20" s="142" t="n"/>
      <c r="F20" s="142" t="n"/>
      <c r="G20" s="142" t="n"/>
      <c r="H20" s="142" t="n"/>
      <c r="I20" s="142" t="n"/>
      <c r="J20" s="142" t="n"/>
      <c r="K20" s="142" t="n"/>
      <c r="L20" s="142" t="n"/>
      <c r="M20" s="142" t="n"/>
      <c r="N20" s="142" t="n"/>
      <c r="O20" s="143" t="n"/>
      <c r="P20" s="46" t="n"/>
      <c r="Q20" s="115" t="n"/>
      <c r="R20" s="46" t="n"/>
      <c r="S20" s="46" t="n"/>
      <c r="T20" s="46" t="n"/>
      <c r="U20" s="46" t="n"/>
      <c r="V20" s="46" t="n"/>
      <c r="W20" s="46" t="n"/>
      <c r="X20" s="46" t="n"/>
      <c r="Y20" s="46" t="n"/>
      <c r="Z20" s="46" t="n"/>
    </row>
    <row r="21" ht="92.25" customHeight="1" s="162">
      <c r="A21" s="159" t="inlineStr">
        <is>
          <t>TC_UC22_002</t>
        </is>
      </c>
      <c r="B21" s="159" t="inlineStr">
        <is>
          <t>Verify Doctor can only view their own patients' EMRs</t>
        </is>
      </c>
      <c r="C21" s="159" t="inlineStr">
        <is>
          <t>1. Login as Doctor
2. Navigate to "Hồ sơ bệnh án"
3. Observe the list of EMRs with doctor's name</t>
        </is>
      </c>
      <c r="D21" s="160" t="inlineStr">
        <is>
          <t>1. All EMRs displayed have the name of the Doctor logging in</t>
        </is>
      </c>
      <c r="E21" s="160" t="inlineStr">
        <is>
          <t>1. This Doctor has "Completed" EMRs</t>
        </is>
      </c>
      <c r="F21" s="155" t="inlineStr">
        <is>
          <t>Pending</t>
        </is>
      </c>
      <c r="G21" s="155" t="n"/>
      <c r="H21" s="155" t="n"/>
      <c r="I21" s="155" t="inlineStr">
        <is>
          <t>Pending</t>
        </is>
      </c>
      <c r="J21" s="155" t="n"/>
      <c r="K21" s="155" t="n"/>
      <c r="L21" s="155" t="inlineStr">
        <is>
          <t>Pending</t>
        </is>
      </c>
      <c r="M21" s="155" t="n"/>
      <c r="N21" s="155" t="n"/>
      <c r="O21" s="155" t="n"/>
      <c r="P21" s="46" t="n"/>
      <c r="Q21" s="115" t="n"/>
      <c r="R21" s="46" t="n"/>
      <c r="S21" s="46" t="n"/>
      <c r="T21" s="46" t="n"/>
      <c r="U21" s="46" t="n"/>
      <c r="V21" s="46" t="n"/>
      <c r="W21" s="46" t="n"/>
      <c r="X21" s="46" t="n"/>
      <c r="Y21" s="46" t="n"/>
      <c r="Z21" s="46" t="n"/>
    </row>
    <row r="22" ht="12.75" customHeight="1" s="162">
      <c r="A22" s="158" t="inlineStr">
        <is>
          <t>Scenario I</t>
        </is>
      </c>
      <c r="B22" s="161" t="inlineStr">
        <is>
          <t>Search EMR</t>
        </is>
      </c>
      <c r="C22" s="151" t="n"/>
      <c r="D22" s="151" t="n"/>
      <c r="E22" s="151" t="n"/>
      <c r="F22" s="151" t="n"/>
      <c r="G22" s="151" t="n"/>
      <c r="H22" s="151" t="n"/>
      <c r="I22" s="151" t="n"/>
      <c r="J22" s="151" t="n"/>
      <c r="K22" s="151" t="n"/>
      <c r="L22" s="151" t="n"/>
      <c r="M22" s="151" t="n"/>
      <c r="N22" s="151" t="n"/>
      <c r="O22" s="152" t="n"/>
      <c r="P22" s="46" t="n"/>
      <c r="Q22" s="115" t="n"/>
      <c r="R22" s="46" t="n"/>
      <c r="S22" s="46" t="n"/>
      <c r="T22" s="46" t="n"/>
      <c r="U22" s="46" t="n"/>
      <c r="V22" s="46" t="n"/>
      <c r="W22" s="46" t="n"/>
      <c r="X22" s="46" t="n"/>
      <c r="Y22" s="46" t="n"/>
      <c r="Z22" s="46" t="n"/>
    </row>
    <row r="23" ht="92.25" customHeight="1" s="162">
      <c r="A23" s="159" t="inlineStr">
        <is>
          <t>TC_UC22_003</t>
        </is>
      </c>
      <c r="B23" s="159" t="inlineStr">
        <is>
          <t>Verify searching EMRs via patient's name or phone number</t>
        </is>
      </c>
      <c r="C23" s="159" t="inlineStr">
        <is>
          <t>1. Login to the system as Doctor
2. Navigate to "Hồ sơ bệnh án"
3. Type a specific patient's name or phone number into the search bar</t>
        </is>
      </c>
      <c r="D23" s="159" t="inlineStr">
        <is>
          <t>2. Only the EMRs matching the searched name or phone number are displayed</t>
        </is>
      </c>
      <c r="E23" s="159" t="inlineStr">
        <is>
          <t>1. Search bar is visible</t>
        </is>
      </c>
      <c r="F23" s="155" t="inlineStr">
        <is>
          <t>Pending</t>
        </is>
      </c>
      <c r="G23" s="155" t="n"/>
      <c r="H23" s="155" t="n"/>
      <c r="I23" s="155" t="inlineStr">
        <is>
          <t>Pending</t>
        </is>
      </c>
      <c r="J23" s="155" t="n"/>
      <c r="K23" s="155" t="n"/>
      <c r="L23" s="155" t="inlineStr">
        <is>
          <t>Pending</t>
        </is>
      </c>
      <c r="M23" s="155" t="n"/>
      <c r="N23" s="155" t="n"/>
      <c r="O23" s="155" t="n"/>
      <c r="P23" s="46" t="n"/>
      <c r="Q23" s="115" t="n"/>
      <c r="R23" s="46" t="n"/>
      <c r="S23" s="46" t="n"/>
      <c r="T23" s="46" t="n"/>
      <c r="U23" s="46" t="n"/>
      <c r="V23" s="46" t="n"/>
      <c r="W23" s="46" t="n"/>
      <c r="X23" s="46" t="n"/>
      <c r="Y23" s="46" t="n"/>
      <c r="Z23" s="46" t="n"/>
    </row>
    <row r="24" ht="12.75" customHeight="1" s="162">
      <c r="A24" s="46" t="n"/>
      <c r="B24" s="46" t="n"/>
      <c r="C24" s="46" t="n"/>
      <c r="D24" s="46" t="n"/>
      <c r="E24" s="46" t="n"/>
      <c r="F24" s="46" t="n"/>
      <c r="G24" s="46" t="n"/>
      <c r="H24" s="46" t="n"/>
      <c r="I24" s="46" t="n"/>
      <c r="J24" s="46" t="n"/>
      <c r="K24" s="46" t="n"/>
      <c r="L24" s="46" t="n"/>
      <c r="M24" s="46" t="n"/>
      <c r="N24" s="46" t="n"/>
      <c r="O24" s="46" t="n"/>
      <c r="P24" s="46" t="n"/>
      <c r="Q24" s="115" t="n"/>
      <c r="R24" s="46" t="n"/>
      <c r="S24" s="46" t="n"/>
      <c r="T24" s="46" t="n"/>
      <c r="U24" s="46" t="n"/>
      <c r="V24" s="46" t="n"/>
      <c r="W24" s="46" t="n"/>
      <c r="X24" s="46" t="n"/>
      <c r="Y24" s="46" t="n"/>
      <c r="Z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115"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115"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115"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115"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115"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115"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115"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115"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115"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115"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115"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115"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115"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115"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115"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115"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115"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115"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115"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115"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115"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115"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115"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115"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115"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115"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115"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115"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115"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115"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115"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115"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115"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115"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115"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115"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115"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115"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115"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115"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115"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115"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115"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115"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115"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115"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115"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115"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115"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115"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115"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115"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115"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115"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115"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115"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115"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115"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115"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115"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115"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115"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115"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115"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115"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115"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115"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115"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115"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115"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115"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115"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115"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115"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115"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115"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115"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115"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115"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115"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115"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115"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115"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115"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115"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115"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115"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115"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115"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115"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115"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115"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115"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115"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115"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115"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115"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115"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115"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115"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115"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115"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115"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115"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115"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115"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115"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115"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115"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115"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115"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115"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115"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115"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115"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115"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115"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115"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115"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115"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115"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115"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115"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115"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115"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115"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115"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115"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115"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115"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115"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115"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115"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115"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115"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115"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115"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115"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115"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115"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115"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115"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115"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115"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115"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115"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115"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115"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115"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115"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115"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115"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115"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115"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115"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115"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115"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115"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115"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115"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115"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115"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115"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115"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115"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115"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115"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115"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115"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115"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115"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115"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115"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115"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115"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115"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115"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115"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115"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115"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115"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115"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115"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115"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115"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115"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115"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115"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115"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115"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115"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115"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115"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115"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115"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115" t="n"/>
      <c r="R220" s="46" t="n"/>
      <c r="S220" s="46" t="n"/>
      <c r="T220" s="46" t="n"/>
      <c r="U220" s="46" t="n"/>
      <c r="V220" s="46" t="n"/>
      <c r="W220" s="46" t="n"/>
      <c r="X220" s="46" t="n"/>
      <c r="Y220" s="46" t="n"/>
      <c r="Z220" s="46" t="n"/>
    </row>
    <row r="221" ht="12.75" customHeight="1" s="162">
      <c r="A221" s="46" t="n"/>
      <c r="B221" s="46" t="n"/>
      <c r="C221" s="46" t="n"/>
      <c r="D221" s="46" t="n"/>
      <c r="E221" s="46" t="n"/>
      <c r="F221" s="46" t="n"/>
      <c r="G221" s="46" t="n"/>
      <c r="H221" s="46" t="n"/>
      <c r="I221" s="46" t="n"/>
      <c r="J221" s="46" t="n"/>
      <c r="K221" s="46" t="n"/>
      <c r="L221" s="46" t="n"/>
      <c r="M221" s="46" t="n"/>
      <c r="N221" s="46" t="n"/>
      <c r="O221" s="46" t="n"/>
      <c r="P221" s="46" t="n"/>
      <c r="Q221" s="115" t="n"/>
      <c r="R221" s="46" t="n"/>
      <c r="S221" s="46" t="n"/>
      <c r="T221" s="46" t="n"/>
      <c r="U221" s="46" t="n"/>
      <c r="V221" s="46" t="n"/>
      <c r="W221" s="46" t="n"/>
      <c r="X221" s="46" t="n"/>
      <c r="Y221" s="46" t="n"/>
      <c r="Z221" s="46" t="n"/>
    </row>
    <row r="222" ht="12.75" customHeight="1" s="162">
      <c r="A222" s="46" t="n"/>
      <c r="B222" s="46" t="n"/>
      <c r="C222" s="46" t="n"/>
      <c r="D222" s="46" t="n"/>
      <c r="E222" s="46" t="n"/>
      <c r="F222" s="46" t="n"/>
      <c r="G222" s="46" t="n"/>
      <c r="H222" s="46" t="n"/>
      <c r="I222" s="46" t="n"/>
      <c r="J222" s="46" t="n"/>
      <c r="K222" s="46" t="n"/>
      <c r="L222" s="46" t="n"/>
      <c r="M222" s="46" t="n"/>
      <c r="N222" s="46" t="n"/>
      <c r="O222" s="46" t="n"/>
      <c r="P222" s="46" t="n"/>
      <c r="Q222" s="115" t="n"/>
      <c r="R222" s="46" t="n"/>
      <c r="S222" s="46" t="n"/>
      <c r="T222" s="46" t="n"/>
      <c r="U222" s="46" t="n"/>
      <c r="V222" s="46" t="n"/>
      <c r="W222" s="46" t="n"/>
      <c r="X222" s="46" t="n"/>
      <c r="Y222" s="46" t="n"/>
      <c r="Z222" s="46" t="n"/>
    </row>
    <row r="223" ht="12.75" customHeight="1" s="162">
      <c r="A223" s="46" t="n"/>
      <c r="B223" s="46" t="n"/>
      <c r="C223" s="46" t="n"/>
      <c r="D223" s="46" t="n"/>
      <c r="E223" s="46" t="n"/>
      <c r="F223" s="46" t="n"/>
      <c r="G223" s="46" t="n"/>
      <c r="H223" s="46" t="n"/>
      <c r="I223" s="46" t="n"/>
      <c r="J223" s="46" t="n"/>
      <c r="K223" s="46" t="n"/>
      <c r="L223" s="46" t="n"/>
      <c r="M223" s="46" t="n"/>
      <c r="N223" s="46" t="n"/>
      <c r="O223" s="46" t="n"/>
      <c r="P223" s="46" t="n"/>
      <c r="Q223" s="115" t="n"/>
      <c r="R223" s="46" t="n"/>
      <c r="S223" s="46" t="n"/>
      <c r="T223" s="46" t="n"/>
      <c r="U223" s="46" t="n"/>
      <c r="V223" s="46" t="n"/>
      <c r="W223" s="46" t="n"/>
      <c r="X223" s="46" t="n"/>
      <c r="Y223" s="46" t="n"/>
      <c r="Z223" s="46" t="n"/>
    </row>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3">
    <mergeCell ref="B3:E3"/>
    <mergeCell ref="B2:E2"/>
    <mergeCell ref="B4:E4"/>
  </mergeCells>
  <dataValidations count="1">
    <dataValidation sqref="F12 F14 F16:F17 F19:G19 F21:G21 F22:F23 G2:G3 G9 G18 G20 G24:G143 I12 I14 I16:I17 I19 I21:I23 J2:J3 J9 J18 J20 J24:J143 L12 L14 L16:L17 L19 L21:L23 M2:M3 M9 M18 M20 M24:M143"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Z221"/>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62" min="1" max="1"/>
    <col width="34.5" customWidth="1" style="162" min="2" max="2"/>
    <col width="34.13" customWidth="1" style="162" min="3" max="3"/>
    <col width="34.63" customWidth="1" style="162" min="4" max="4"/>
    <col width="28.38" customWidth="1" style="162" min="5" max="5"/>
    <col width="9.380000000000001" customWidth="1" style="162" min="6" max="6"/>
    <col outlineLevel="1" width="10.63" customWidth="1" style="162" min="7" max="7"/>
    <col outlineLevel="1" width="7" customWidth="1" style="162" min="8" max="8"/>
    <col width="9.380000000000001" customWidth="1" style="162" min="9" max="9"/>
    <col outlineLevel="1" width="10.63" customWidth="1" style="162" min="10" max="10"/>
    <col outlineLevel="1" width="7" customWidth="1" style="162" min="11" max="11"/>
    <col width="9.380000000000001" customWidth="1" style="162" min="12" max="12"/>
    <col outlineLevel="1" width="10.63" customWidth="1" style="162" min="13" max="13"/>
    <col outlineLevel="1" width="7" customWidth="1" style="162" min="14" max="14"/>
    <col width="28.63" customWidth="1" style="162" min="15" max="15"/>
    <col width="10.13" customWidth="1" style="162" min="16" max="16"/>
    <col width="8.130000000000001" customWidth="1" style="162" min="17" max="17"/>
    <col hidden="1" width="7.63" customWidth="1" style="162" min="18" max="18"/>
    <col width="9" customWidth="1" style="162" min="19" max="26"/>
  </cols>
  <sheetData>
    <row r="1" ht="12.75" customHeight="1" s="162">
      <c r="A1" s="46" t="n"/>
      <c r="B1" s="46" t="n"/>
      <c r="C1" s="46" t="n"/>
      <c r="D1" s="46" t="n"/>
      <c r="E1" s="46" t="n"/>
      <c r="F1" s="46" t="n"/>
      <c r="G1" s="46" t="n"/>
      <c r="H1" s="46" t="n"/>
      <c r="I1" s="46" t="n"/>
      <c r="J1" s="46" t="n"/>
      <c r="K1" s="46" t="n"/>
      <c r="L1" s="46" t="n"/>
      <c r="M1" s="46" t="n"/>
      <c r="N1" s="46" t="n"/>
      <c r="O1" s="46" t="n"/>
      <c r="P1" s="46" t="n"/>
      <c r="Q1" s="115" t="n"/>
      <c r="R1" s="46" t="n"/>
      <c r="S1" s="46" t="n"/>
      <c r="T1" s="46" t="n"/>
      <c r="U1" s="46" t="n"/>
      <c r="V1" s="46" t="n"/>
      <c r="W1" s="46" t="n"/>
      <c r="X1" s="46" t="n"/>
      <c r="Y1" s="46" t="n"/>
      <c r="Z1" s="46" t="n"/>
    </row>
    <row r="2" ht="15" customHeight="1" s="162">
      <c r="A2" s="116" t="inlineStr">
        <is>
          <t>Workflow</t>
        </is>
      </c>
      <c r="B2" s="174" t="inlineStr">
        <is>
          <t>View Visit History</t>
        </is>
      </c>
      <c r="C2" s="175" t="n"/>
      <c r="D2" s="175" t="n"/>
      <c r="E2" s="176" t="n"/>
      <c r="F2" s="120" t="n"/>
      <c r="G2" s="121" t="n"/>
      <c r="H2" s="11" t="n"/>
      <c r="I2" s="120" t="n"/>
      <c r="J2" s="121" t="n"/>
      <c r="K2" s="11" t="n"/>
      <c r="L2" s="120" t="n"/>
      <c r="M2" s="121" t="n"/>
      <c r="N2" s="11" t="n"/>
      <c r="O2" s="11" t="n"/>
      <c r="P2" s="11" t="n"/>
      <c r="Q2" s="122" t="n"/>
      <c r="R2" s="123" t="inlineStr">
        <is>
          <t>Passed</t>
        </is>
      </c>
      <c r="S2" s="123" t="n"/>
      <c r="T2" s="123" t="n"/>
      <c r="U2" s="123" t="n"/>
      <c r="V2" s="123" t="n"/>
      <c r="W2" s="123" t="n"/>
      <c r="X2" s="123" t="n"/>
      <c r="Y2" s="123" t="n"/>
      <c r="Z2" s="123" t="n"/>
    </row>
    <row r="3" ht="12.75" customHeight="1" s="162">
      <c r="A3" s="124" t="inlineStr">
        <is>
          <t>Test requirement</t>
        </is>
      </c>
      <c r="B3" s="177" t="inlineStr">
        <is>
          <t>Verify Patient can view all their past and pending appointments, search by Doctor or Service name, and filter by status</t>
        </is>
      </c>
      <c r="C3" s="164" t="n"/>
      <c r="D3" s="164" t="n"/>
      <c r="E3" s="178" t="n"/>
      <c r="F3" s="120" t="n"/>
      <c r="G3" s="121" t="n"/>
      <c r="H3" s="11" t="n"/>
      <c r="I3" s="120" t="n"/>
      <c r="J3" s="121" t="n"/>
      <c r="K3" s="11" t="n"/>
      <c r="L3" s="120" t="n"/>
      <c r="M3" s="121" t="n"/>
      <c r="N3" s="11" t="n"/>
      <c r="O3" s="11" t="n"/>
      <c r="P3" s="11" t="n"/>
      <c r="Q3" s="122" t="n"/>
      <c r="R3" s="123" t="inlineStr">
        <is>
          <t>Failed</t>
        </is>
      </c>
      <c r="S3" s="123" t="n"/>
      <c r="T3" s="123" t="n"/>
      <c r="U3" s="123" t="n"/>
      <c r="V3" s="123" t="n"/>
      <c r="W3" s="123" t="n"/>
      <c r="X3" s="123" t="n"/>
      <c r="Y3" s="123" t="n"/>
      <c r="Z3" s="123" t="n"/>
    </row>
    <row r="4" ht="18" customHeight="1" s="162">
      <c r="A4" s="124" t="inlineStr">
        <is>
          <t>Number of TCs</t>
        </is>
      </c>
      <c r="B4" s="177">
        <f>COUNTIF(A12:A1001,"TC_*")</f>
        <v/>
      </c>
      <c r="C4" s="164" t="n"/>
      <c r="D4" s="164" t="n"/>
      <c r="E4" s="178" t="n"/>
      <c r="F4" s="120" t="n"/>
      <c r="G4" s="121" t="n"/>
      <c r="H4" s="11" t="n"/>
      <c r="I4" s="120" t="n"/>
      <c r="J4" s="121" t="n"/>
      <c r="K4" s="11" t="n"/>
      <c r="L4" s="120" t="n"/>
      <c r="M4" s="121" t="n"/>
      <c r="N4" s="11" t="n"/>
      <c r="O4" s="11" t="n"/>
      <c r="P4" s="11" t="n"/>
      <c r="Q4" s="122" t="n"/>
      <c r="R4" s="123" t="inlineStr">
        <is>
          <t>Pending</t>
        </is>
      </c>
      <c r="S4" s="123" t="n"/>
      <c r="T4" s="123" t="n"/>
      <c r="U4" s="123" t="n"/>
      <c r="V4" s="123" t="n"/>
      <c r="W4" s="123" t="n"/>
      <c r="X4" s="123" t="n"/>
      <c r="Y4" s="123" t="n"/>
      <c r="Z4" s="123" t="n"/>
    </row>
    <row r="5" ht="19.5" customHeight="1" s="162">
      <c r="A5" s="127" t="inlineStr">
        <is>
          <t>Testing Round</t>
        </is>
      </c>
      <c r="B5" s="128" t="inlineStr">
        <is>
          <t>Passed</t>
        </is>
      </c>
      <c r="C5" s="128" t="inlineStr">
        <is>
          <t>Failed</t>
        </is>
      </c>
      <c r="D5" s="128" t="inlineStr">
        <is>
          <t>Pending</t>
        </is>
      </c>
      <c r="E5" s="129" t="inlineStr">
        <is>
          <t>N/A</t>
        </is>
      </c>
      <c r="F5" s="130" t="n"/>
      <c r="G5" s="130" t="n"/>
      <c r="H5" s="131" t="n"/>
      <c r="I5" s="130" t="n"/>
      <c r="J5" s="130" t="n"/>
      <c r="K5" s="131" t="n"/>
      <c r="L5" s="130" t="n"/>
      <c r="M5" s="130" t="n"/>
      <c r="N5" s="131" t="n"/>
      <c r="O5" s="131" t="n"/>
      <c r="P5" s="131" t="n"/>
      <c r="Q5" s="132" t="n"/>
      <c r="R5" s="123" t="inlineStr">
        <is>
          <t>N/A</t>
        </is>
      </c>
      <c r="S5" s="123" t="n"/>
      <c r="T5" s="123" t="n"/>
      <c r="U5" s="123" t="n"/>
      <c r="V5" s="123" t="n"/>
      <c r="W5" s="123" t="n"/>
      <c r="X5" s="123" t="n"/>
      <c r="Y5" s="123" t="n"/>
      <c r="Z5" s="123" t="n"/>
    </row>
    <row r="6" ht="15" customHeight="1" s="162">
      <c r="A6" s="127" t="inlineStr">
        <is>
          <t>Round 1</t>
        </is>
      </c>
      <c r="B6" s="133">
        <f>COUNTIF($F10:$F997,B5)</f>
        <v/>
      </c>
      <c r="C6" s="133">
        <f>COUNTIF($F10:$F997,C5)</f>
        <v/>
      </c>
      <c r="D6" s="133">
        <f>COUNTIF($F10:$F997,D5)</f>
        <v/>
      </c>
      <c r="E6" s="134">
        <f>COUNTIF($F10:$F997,E5)</f>
        <v/>
      </c>
      <c r="F6" s="135" t="n"/>
      <c r="G6" s="135" t="n"/>
      <c r="H6" s="131" t="n"/>
      <c r="I6" s="135" t="n"/>
      <c r="J6" s="135" t="n"/>
      <c r="K6" s="131" t="n"/>
      <c r="L6" s="135" t="n"/>
      <c r="M6" s="135" t="n"/>
      <c r="N6" s="131" t="n"/>
      <c r="O6" s="131" t="n"/>
      <c r="P6" s="131" t="n"/>
      <c r="Q6" s="132" t="n"/>
      <c r="R6" s="123" t="n"/>
      <c r="S6" s="123" t="n"/>
      <c r="T6" s="123" t="n"/>
      <c r="U6" s="123" t="n"/>
      <c r="V6" s="123" t="n"/>
      <c r="W6" s="123" t="n"/>
      <c r="X6" s="123" t="n"/>
      <c r="Y6" s="123" t="n"/>
      <c r="Z6" s="123" t="n"/>
    </row>
    <row r="7" ht="15" customHeight="1" s="162">
      <c r="A7" s="127" t="inlineStr">
        <is>
          <t>Round 2</t>
        </is>
      </c>
      <c r="B7" s="133">
        <f>COUNTIF($F10:$F997,B5)</f>
        <v/>
      </c>
      <c r="C7" s="133">
        <f>COUNTIF($F10:$F997,C5)</f>
        <v/>
      </c>
      <c r="D7" s="133">
        <f>COUNTIF($F10:$F997,D5)</f>
        <v/>
      </c>
      <c r="E7" s="134">
        <f>COUNTIF($F10:$F997,E5)</f>
        <v/>
      </c>
      <c r="F7" s="135" t="n"/>
      <c r="G7" s="135" t="n"/>
      <c r="H7" s="131" t="n"/>
      <c r="I7" s="135" t="n"/>
      <c r="J7" s="135" t="n"/>
      <c r="K7" s="131" t="n"/>
      <c r="L7" s="135" t="n"/>
      <c r="M7" s="135" t="n"/>
      <c r="N7" s="131" t="n"/>
      <c r="O7" s="131" t="n"/>
      <c r="P7" s="131" t="n"/>
      <c r="Q7" s="132" t="n"/>
      <c r="R7" s="123" t="n"/>
      <c r="S7" s="123" t="n"/>
      <c r="T7" s="123" t="n"/>
      <c r="U7" s="123" t="n"/>
      <c r="V7" s="123" t="n"/>
      <c r="W7" s="123" t="n"/>
      <c r="X7" s="123" t="n"/>
      <c r="Y7" s="123" t="n"/>
      <c r="Z7" s="123" t="n"/>
    </row>
    <row r="8" ht="15" customHeight="1" s="162">
      <c r="A8" s="136" t="inlineStr">
        <is>
          <t>Round 3</t>
        </is>
      </c>
      <c r="B8" s="137">
        <f>COUNTIF($F10:$F997,B5)</f>
        <v/>
      </c>
      <c r="C8" s="137">
        <f>COUNTIF($F10:$F997,C5)</f>
        <v/>
      </c>
      <c r="D8" s="137">
        <f>COUNTIF($F10:$F997,D5)</f>
        <v/>
      </c>
      <c r="E8" s="138">
        <f>COUNTIF($F10:$F997,E5)</f>
        <v/>
      </c>
      <c r="F8" s="135" t="n"/>
      <c r="G8" s="135" t="n"/>
      <c r="H8" s="131" t="n"/>
      <c r="I8" s="135" t="n"/>
      <c r="J8" s="135" t="n"/>
      <c r="K8" s="131" t="n"/>
      <c r="L8" s="135" t="n"/>
      <c r="M8" s="135" t="n"/>
      <c r="N8" s="131" t="n"/>
      <c r="O8" s="131" t="n"/>
      <c r="P8" s="131" t="n"/>
      <c r="Q8" s="132" t="n"/>
      <c r="R8" s="123" t="n"/>
      <c r="S8" s="123" t="n"/>
      <c r="T8" s="123" t="n"/>
      <c r="U8" s="123" t="n"/>
      <c r="V8" s="123" t="n"/>
      <c r="W8" s="123" t="n"/>
      <c r="X8" s="123" t="n"/>
      <c r="Y8" s="123" t="n"/>
      <c r="Z8" s="123" t="n"/>
    </row>
    <row r="9" ht="15" customHeight="1" s="162">
      <c r="A9" s="131" t="n"/>
      <c r="B9" s="131" t="n"/>
      <c r="C9" s="131" t="n"/>
      <c r="D9" s="131" t="n"/>
      <c r="E9" s="131" t="n"/>
      <c r="F9" s="114" t="n"/>
      <c r="G9" s="131" t="n"/>
      <c r="H9" s="131" t="n"/>
      <c r="I9" s="114" t="n"/>
      <c r="J9" s="131" t="n"/>
      <c r="K9" s="131" t="n"/>
      <c r="L9" s="114" t="n"/>
      <c r="M9" s="131" t="n"/>
      <c r="N9" s="131" t="n"/>
      <c r="O9" s="131" t="n"/>
      <c r="P9" s="131" t="n"/>
      <c r="Q9" s="132" t="n"/>
      <c r="R9" s="123" t="n"/>
      <c r="S9" s="123" t="n"/>
      <c r="T9" s="123" t="n"/>
      <c r="U9" s="123" t="n"/>
      <c r="V9" s="123" t="n"/>
      <c r="W9" s="123" t="n"/>
      <c r="X9" s="123" t="n"/>
      <c r="Y9" s="123" t="n"/>
      <c r="Z9" s="123" t="n"/>
    </row>
    <row r="10" ht="25.5" customHeight="1" s="162">
      <c r="A10" s="139" t="inlineStr">
        <is>
          <t>Test Case ID</t>
        </is>
      </c>
      <c r="B10" s="139" t="inlineStr">
        <is>
          <t>Test Case Description</t>
        </is>
      </c>
      <c r="C10" s="139" t="inlineStr">
        <is>
          <t>Test Case Procedure</t>
        </is>
      </c>
      <c r="D10" s="139" t="inlineStr">
        <is>
          <t>Expected Results</t>
        </is>
      </c>
      <c r="E10" s="139" t="inlineStr">
        <is>
          <t>Pre-conditions</t>
        </is>
      </c>
      <c r="F10" s="139" t="inlineStr">
        <is>
          <t>Round 1</t>
        </is>
      </c>
      <c r="G10" s="139" t="inlineStr">
        <is>
          <t>Test date</t>
        </is>
      </c>
      <c r="H10" s="139" t="inlineStr">
        <is>
          <t>Tester</t>
        </is>
      </c>
      <c r="I10" s="139" t="inlineStr">
        <is>
          <t>Round 2</t>
        </is>
      </c>
      <c r="J10" s="139" t="inlineStr">
        <is>
          <t>Test date</t>
        </is>
      </c>
      <c r="K10" s="139" t="inlineStr">
        <is>
          <t>Tester</t>
        </is>
      </c>
      <c r="L10" s="139" t="inlineStr">
        <is>
          <t>Round 3</t>
        </is>
      </c>
      <c r="M10" s="139" t="inlineStr">
        <is>
          <t>Test date</t>
        </is>
      </c>
      <c r="N10" s="139" t="inlineStr">
        <is>
          <t>Tester</t>
        </is>
      </c>
      <c r="O10" s="139" t="inlineStr">
        <is>
          <t>Note</t>
        </is>
      </c>
      <c r="P10" s="123" t="n"/>
      <c r="Q10" s="140" t="n"/>
      <c r="R10" s="123" t="n"/>
      <c r="S10" s="123" t="n"/>
      <c r="T10" s="123" t="n"/>
      <c r="U10" s="123" t="n"/>
      <c r="V10" s="123" t="n"/>
      <c r="W10" s="123" t="n"/>
      <c r="X10" s="123" t="n"/>
      <c r="Y10" s="123" t="n"/>
      <c r="Z10" s="123" t="n"/>
    </row>
    <row r="11" ht="15.75" customHeight="1" s="162">
      <c r="A11" s="158" t="inlineStr">
        <is>
          <t>Scenario A</t>
        </is>
      </c>
      <c r="B11" s="158" t="inlineStr">
        <is>
          <t>Browsing Visit History List</t>
        </is>
      </c>
      <c r="C11" s="142" t="n"/>
      <c r="D11" s="142" t="n"/>
      <c r="E11" s="142" t="n"/>
      <c r="F11" s="142" t="n"/>
      <c r="G11" s="142" t="n"/>
      <c r="H11" s="142" t="n"/>
      <c r="I11" s="142" t="n"/>
      <c r="J11" s="142" t="n"/>
      <c r="K11" s="142" t="n"/>
      <c r="L11" s="142" t="n"/>
      <c r="M11" s="142" t="n"/>
      <c r="N11" s="142" t="n"/>
      <c r="O11" s="143" t="n"/>
      <c r="P11" s="123" t="n"/>
      <c r="Q11" s="144" t="n"/>
      <c r="R11" s="123" t="n"/>
      <c r="S11" s="123" t="n"/>
      <c r="T11" s="123" t="n"/>
      <c r="U11" s="123" t="n"/>
      <c r="V11" s="123" t="n"/>
      <c r="W11" s="123" t="n"/>
      <c r="X11" s="123" t="n"/>
      <c r="Y11" s="123" t="n"/>
      <c r="Z11" s="123" t="n"/>
    </row>
    <row r="12" outlineLevel="1" ht="150" customHeight="1" s="162">
      <c r="A12" s="159" t="inlineStr">
        <is>
          <t>TC_VH_001</t>
        </is>
      </c>
      <c r="B12" s="159" t="inlineStr">
        <is>
          <t>View visit history with existing past appointments</t>
        </is>
      </c>
      <c r="C12" s="159" t="inlineStr">
        <is>
          <t>1. Click on account's menu
2. Select "Visit History" (hiện tại đang là Hồ sơ bệnh án)
3. Observe the list of past visits (appointments) displayed on the screen</t>
        </is>
      </c>
      <c r="D12" s="160" t="inlineStr">
        <is>
          <t>1. The system displays the list of past visits in descending chronological order
2. Appointment Date, Doctor Name, Service Name, Status and Primary Diagnosis are displayed correctly</t>
        </is>
      </c>
      <c r="E12" s="160" t="inlineStr">
        <is>
          <t>1. The patient's account is active (status = 'ACTIVE')
2. The patient has at least 1 appointment in the database
3. The patient is logged in to the system</t>
        </is>
      </c>
      <c r="F12" s="155" t="inlineStr">
        <is>
          <t>Pending</t>
        </is>
      </c>
      <c r="G12" s="155" t="n"/>
      <c r="H12" s="155" t="n"/>
      <c r="I12" s="155" t="inlineStr">
        <is>
          <t>Pending</t>
        </is>
      </c>
      <c r="J12" s="155" t="n"/>
      <c r="K12" s="155" t="n"/>
      <c r="L12" s="155" t="inlineStr">
        <is>
          <t>Pending</t>
        </is>
      </c>
      <c r="M12" s="155" t="n"/>
      <c r="N12" s="155" t="n"/>
      <c r="O12" s="155" t="n"/>
      <c r="P12" s="148" t="n"/>
      <c r="Q12" s="149" t="n"/>
      <c r="R12" s="148" t="n"/>
      <c r="S12" s="148" t="n"/>
      <c r="T12" s="148" t="n"/>
      <c r="U12" s="148" t="n"/>
      <c r="V12" s="148" t="n"/>
      <c r="W12" s="148" t="n"/>
      <c r="X12" s="148" t="n"/>
      <c r="Y12" s="148" t="n"/>
      <c r="Z12" s="148" t="n"/>
    </row>
    <row r="13" outlineLevel="1" ht="141" customHeight="1" s="162">
      <c r="A13" s="159" t="inlineStr">
        <is>
          <t>TC_VH_002</t>
        </is>
      </c>
      <c r="B13" s="159" t="inlineStr">
        <is>
          <t>View visit history when patient has no past appointments</t>
        </is>
      </c>
      <c r="C13" s="159" t="inlineStr">
        <is>
          <t>1. Click on account's menu
2. Select "Visit History" (hiện tại đang là Hồ sơ bệnh án)
3. Observe the screen</t>
        </is>
      </c>
      <c r="D13" s="159" t="inlineStr">
        <is>
          <t>1. The page displays a user-friendly empty state illustration
2. A clear helper message is displayed: "You have no past visits recorded at our clinic"</t>
        </is>
      </c>
      <c r="E13" s="159" t="inlineStr">
        <is>
          <t>1. The patient's account is active (status = 'ACTIVE')
2. The patient has no past appointments
3. The patient is logged in</t>
        </is>
      </c>
      <c r="F13" s="155" t="inlineStr">
        <is>
          <t>Pending</t>
        </is>
      </c>
      <c r="G13" s="155" t="n"/>
      <c r="H13" s="155" t="n"/>
      <c r="I13" s="155" t="inlineStr">
        <is>
          <t>Pending</t>
        </is>
      </c>
      <c r="J13" s="155" t="n"/>
      <c r="K13" s="155" t="n"/>
      <c r="L13" s="155" t="inlineStr">
        <is>
          <t>Pending</t>
        </is>
      </c>
      <c r="M13" s="155" t="n"/>
      <c r="N13" s="155" t="n"/>
      <c r="O13" s="155" t="n"/>
      <c r="P13" s="148" t="n"/>
      <c r="Q13" s="149" t="n"/>
      <c r="R13" s="148" t="n"/>
      <c r="S13" s="148" t="n"/>
      <c r="T13" s="148" t="n"/>
      <c r="U13" s="148" t="n"/>
      <c r="V13" s="148" t="n"/>
      <c r="W13" s="148" t="n"/>
      <c r="X13" s="148" t="n"/>
      <c r="Y13" s="148" t="n"/>
      <c r="Z13" s="148" t="n"/>
    </row>
    <row r="14" ht="15.75" customHeight="1" s="162">
      <c r="A14" s="158" t="inlineStr">
        <is>
          <t>Scenario B</t>
        </is>
      </c>
      <c r="B14" s="161" t="inlineStr">
        <is>
          <t>Searching Visit History</t>
        </is>
      </c>
      <c r="C14" s="151" t="n"/>
      <c r="D14" s="151" t="n"/>
      <c r="E14" s="151" t="n"/>
      <c r="F14" s="151" t="n"/>
      <c r="G14" s="151" t="n"/>
      <c r="H14" s="151" t="n"/>
      <c r="I14" s="151" t="n"/>
      <c r="J14" s="151" t="n"/>
      <c r="K14" s="151" t="n"/>
      <c r="L14" s="151" t="n"/>
      <c r="M14" s="151" t="n"/>
      <c r="N14" s="151" t="n"/>
      <c r="O14" s="152" t="n"/>
      <c r="P14" s="123" t="n"/>
      <c r="Q14" s="144" t="n"/>
      <c r="R14" s="123" t="n"/>
      <c r="S14" s="123" t="n"/>
      <c r="T14" s="123" t="n"/>
      <c r="U14" s="123" t="n"/>
      <c r="V14" s="123" t="n"/>
      <c r="W14" s="123" t="n"/>
      <c r="X14" s="123" t="n"/>
      <c r="Y14" s="123" t="n"/>
      <c r="Z14" s="123" t="n"/>
    </row>
    <row r="15" outlineLevel="1" ht="79.5" customHeight="1" s="162">
      <c r="A15" s="159" t="inlineStr">
        <is>
          <t>TC_VH_003</t>
        </is>
      </c>
      <c r="B15" s="159" t="inlineStr">
        <is>
          <t>Search appointments by Doctor Name</t>
        </is>
      </c>
      <c r="C15" s="159" t="inlineStr">
        <is>
          <t>1. Type "Nguyễn Văn An" into the search input field</t>
        </is>
      </c>
      <c r="D15" s="159" t="inlineStr">
        <is>
          <t>1. The list instantly filters and displays only the appointments with Doctor Nguyễn Văn An</t>
        </is>
      </c>
      <c r="E15" s="159" t="inlineStr">
        <is>
          <t>1. The patient is on the "Visit History" page
2. Visit history list contains appointments with Doctor 'Nguyễn Văn An'</t>
        </is>
      </c>
      <c r="F15" s="155" t="inlineStr">
        <is>
          <t>Pending</t>
        </is>
      </c>
      <c r="G15" s="155" t="n"/>
      <c r="H15" s="155" t="n"/>
      <c r="I15" s="155" t="inlineStr">
        <is>
          <t>Pending</t>
        </is>
      </c>
      <c r="J15" s="155" t="n"/>
      <c r="K15" s="155" t="n"/>
      <c r="L15" s="155" t="inlineStr">
        <is>
          <t>Pending</t>
        </is>
      </c>
      <c r="M15" s="155" t="n"/>
      <c r="N15" s="155" t="n"/>
      <c r="O15" s="155" t="n"/>
      <c r="P15" s="46" t="n"/>
      <c r="Q15" s="149" t="n"/>
      <c r="R15" s="46" t="n"/>
      <c r="S15" s="46" t="n"/>
      <c r="T15" s="46" t="n"/>
      <c r="U15" s="46" t="n"/>
      <c r="V15" s="46" t="n"/>
      <c r="W15" s="46" t="n"/>
      <c r="X15" s="46" t="n"/>
      <c r="Y15" s="46" t="n"/>
      <c r="Z15" s="46" t="n"/>
    </row>
    <row r="16" outlineLevel="1" ht="79.5" customHeight="1" s="162">
      <c r="A16" s="159" t="inlineStr">
        <is>
          <t>TC_VH_004</t>
        </is>
      </c>
      <c r="B16" s="159" t="inlineStr">
        <is>
          <t>Search appointments by Service Name</t>
        </is>
      </c>
      <c r="C16" s="159" t="inlineStr">
        <is>
          <t>1. Type "Massage Mắt" into the search input field</t>
        </is>
      </c>
      <c r="D16" s="159" t="inlineStr">
        <is>
          <t>1. The list instantly filters and displays only the appointments with Service "Massage Mắt"</t>
        </is>
      </c>
      <c r="E16" s="159" t="inlineStr">
        <is>
          <t>1. The patient is on the "Visit History" page
2. Visit history list contains appointments with Service 'Massage Mắt'</t>
        </is>
      </c>
      <c r="F16" s="155" t="inlineStr">
        <is>
          <t>Pending</t>
        </is>
      </c>
      <c r="G16" s="155" t="n"/>
      <c r="H16" s="155" t="n"/>
      <c r="I16" s="155" t="inlineStr">
        <is>
          <t>Pending</t>
        </is>
      </c>
      <c r="J16" s="155" t="n"/>
      <c r="K16" s="155" t="n"/>
      <c r="L16" s="155" t="inlineStr">
        <is>
          <t>Pending</t>
        </is>
      </c>
      <c r="M16" s="155" t="n"/>
      <c r="N16" s="155" t="n"/>
      <c r="O16" s="155" t="n"/>
      <c r="P16" s="46" t="n"/>
      <c r="Q16" s="149" t="n"/>
      <c r="R16" s="46" t="n"/>
      <c r="S16" s="46" t="n"/>
      <c r="T16" s="46" t="n"/>
      <c r="U16" s="46" t="n"/>
      <c r="V16" s="46" t="n"/>
      <c r="W16" s="46" t="n"/>
      <c r="X16" s="46" t="n"/>
      <c r="Y16" s="46" t="n"/>
      <c r="Z16" s="46" t="n"/>
    </row>
    <row r="17" outlineLevel="1" ht="78.75" customHeight="1" s="162">
      <c r="A17" s="159" t="inlineStr">
        <is>
          <t>TC_VH_005</t>
        </is>
      </c>
      <c r="B17" s="159" t="inlineStr">
        <is>
          <t>Search appointments with no matching results</t>
        </is>
      </c>
      <c r="C17" s="159" t="inlineStr">
        <is>
          <t>1. Enter a non-matching query ("Bác sĩ") in the search bar</t>
        </is>
      </c>
      <c r="D17" s="159" t="inlineStr">
        <is>
          <t>1. The list shows no appointments
2. Displays a message: ("No matching appointments found")</t>
        </is>
      </c>
      <c r="E17" s="159" t="inlineStr">
        <is>
          <t>1. The patient is on the "Visit History" page</t>
        </is>
      </c>
      <c r="F17" s="155" t="inlineStr">
        <is>
          <t>Pending</t>
        </is>
      </c>
      <c r="G17" s="153" t="n"/>
      <c r="H17" s="153" t="n"/>
      <c r="I17" s="155" t="inlineStr">
        <is>
          <t>Pending</t>
        </is>
      </c>
      <c r="J17" s="153" t="n"/>
      <c r="K17" s="153" t="n"/>
      <c r="L17" s="155" t="inlineStr">
        <is>
          <t>Pending</t>
        </is>
      </c>
      <c r="M17" s="153" t="n"/>
      <c r="N17" s="153" t="n"/>
      <c r="O17" s="153" t="n"/>
      <c r="P17" s="46" t="n"/>
      <c r="Q17" s="115" t="n"/>
      <c r="R17" s="46" t="n"/>
      <c r="S17" s="46" t="n"/>
      <c r="T17" s="46" t="n"/>
      <c r="U17" s="46" t="n"/>
      <c r="V17" s="46" t="n"/>
      <c r="W17" s="46" t="n"/>
      <c r="X17" s="46" t="n"/>
      <c r="Y17" s="46" t="n"/>
      <c r="Z17" s="46" t="n"/>
    </row>
    <row r="18" ht="15.75" customHeight="1" s="162">
      <c r="A18" s="158" t="inlineStr">
        <is>
          <t>Scenario C</t>
        </is>
      </c>
      <c r="B18" s="161" t="inlineStr">
        <is>
          <t>Filter Visit History</t>
        </is>
      </c>
      <c r="C18" s="151" t="n"/>
      <c r="D18" s="151" t="n"/>
      <c r="E18" s="151" t="n"/>
      <c r="F18" s="151" t="n"/>
      <c r="G18" s="151" t="n"/>
      <c r="H18" s="151" t="n"/>
      <c r="I18" s="151" t="n"/>
      <c r="J18" s="151" t="n"/>
      <c r="K18" s="151" t="n"/>
      <c r="L18" s="151" t="n"/>
      <c r="M18" s="151" t="n"/>
      <c r="N18" s="151" t="n"/>
      <c r="O18" s="152" t="n"/>
      <c r="P18" s="123" t="n"/>
      <c r="Q18" s="144" t="n"/>
      <c r="R18" s="123" t="n"/>
      <c r="S18" s="123" t="n"/>
      <c r="T18" s="123" t="n"/>
      <c r="U18" s="123" t="n"/>
      <c r="V18" s="123" t="n"/>
      <c r="W18" s="123" t="n"/>
      <c r="X18" s="123" t="n"/>
      <c r="Y18" s="123" t="n"/>
      <c r="Z18" s="123" t="n"/>
    </row>
    <row r="19" ht="134.25" customHeight="1" s="162">
      <c r="A19" s="159" t="inlineStr">
        <is>
          <t>TC_VH_006</t>
        </is>
      </c>
      <c r="B19" s="159" t="inlineStr">
        <is>
          <t>Filter appointments by status (COMPLETED / CANCELLED / PENDING / CONFIRMED / WAITING / IN_PROGRESS)</t>
        </is>
      </c>
      <c r="C19" s="159" t="inlineStr">
        <is>
          <t>1. User select tab "COMPLETED" on the screen</t>
        </is>
      </c>
      <c r="D19" s="159" t="inlineStr">
        <is>
          <t>1. The list filters and displays only appointments with status "COMPLETED"
2. Appointments in other statuses are hidden</t>
        </is>
      </c>
      <c r="E19" s="159" t="inlineStr">
        <is>
          <t>1. The patient is on the "Visit History" page
2. List contains appointments in various statuses</t>
        </is>
      </c>
      <c r="F19" s="154" t="inlineStr">
        <is>
          <t>Pending</t>
        </is>
      </c>
      <c r="G19" s="154" t="n"/>
      <c r="H19" s="155" t="n"/>
      <c r="I19" s="154" t="inlineStr">
        <is>
          <t>Pending</t>
        </is>
      </c>
      <c r="J19" s="154" t="n"/>
      <c r="K19" s="155" t="n"/>
      <c r="L19" s="154" t="inlineStr">
        <is>
          <t>Pending</t>
        </is>
      </c>
      <c r="M19" s="153" t="n"/>
      <c r="N19" s="46" t="n"/>
      <c r="O19" s="155" t="n"/>
      <c r="P19" s="115" t="n"/>
      <c r="Q19" s="46" t="n"/>
      <c r="R19" s="46" t="n"/>
      <c r="S19" s="46" t="n"/>
      <c r="T19" s="46" t="n"/>
      <c r="U19" s="46" t="n"/>
      <c r="V19" s="46" t="n"/>
      <c r="W19" s="46" t="n"/>
      <c r="X19" s="46" t="n"/>
      <c r="Y19" s="46" t="n"/>
    </row>
    <row r="20" ht="99" customHeight="1" s="162">
      <c r="A20" s="159" t="n"/>
      <c r="B20" s="159" t="n"/>
      <c r="C20" s="159" t="n"/>
      <c r="D20" s="159" t="n"/>
      <c r="E20" s="159" t="n"/>
      <c r="F20" s="154" t="inlineStr">
        <is>
          <t>Pending</t>
        </is>
      </c>
      <c r="G20" s="154" t="n"/>
      <c r="H20" s="155" t="n"/>
      <c r="I20" s="154" t="inlineStr">
        <is>
          <t>Pending</t>
        </is>
      </c>
      <c r="J20" s="154" t="n"/>
      <c r="K20" s="155" t="n"/>
      <c r="L20" s="154" t="inlineStr">
        <is>
          <t>Pending</t>
        </is>
      </c>
      <c r="M20" s="153" t="n"/>
      <c r="N20" s="153" t="n"/>
      <c r="O20" s="155" t="n"/>
      <c r="P20" s="115" t="n"/>
      <c r="Q20" s="46" t="n"/>
      <c r="R20" s="46" t="n"/>
      <c r="S20" s="46" t="n"/>
      <c r="T20" s="46" t="n"/>
      <c r="U20" s="46" t="n"/>
      <c r="V20" s="46" t="n"/>
      <c r="W20" s="46" t="n"/>
      <c r="X20" s="46" t="n"/>
      <c r="Y20" s="46" t="n"/>
    </row>
    <row r="21" ht="149.25" customHeight="1" s="162">
      <c r="A21" s="159" t="n"/>
      <c r="B21" s="159" t="n"/>
      <c r="C21" s="159" t="n"/>
      <c r="D21" s="159" t="n"/>
      <c r="E21" s="159" t="n"/>
      <c r="F21" s="154" t="inlineStr">
        <is>
          <t>Pending</t>
        </is>
      </c>
      <c r="G21" s="154" t="n"/>
      <c r="H21" s="155" t="n"/>
      <c r="I21" s="154" t="inlineStr">
        <is>
          <t>Pending</t>
        </is>
      </c>
      <c r="J21" s="154" t="n"/>
      <c r="K21" s="155" t="n"/>
      <c r="L21" s="154" t="inlineStr">
        <is>
          <t>Pending</t>
        </is>
      </c>
      <c r="M21" s="153" t="n"/>
      <c r="N21" s="153" t="n"/>
      <c r="O21" s="155" t="n"/>
      <c r="P21" s="115" t="n"/>
      <c r="Q21" s="46" t="n"/>
      <c r="R21" s="46" t="n"/>
      <c r="S21" s="46" t="n"/>
      <c r="T21" s="46" t="n"/>
      <c r="U21" s="46" t="n"/>
      <c r="V21" s="46" t="n"/>
      <c r="W21" s="46" t="n"/>
      <c r="X21" s="46" t="n"/>
      <c r="Y21" s="46" t="n"/>
    </row>
    <row r="22" ht="12.75" customHeight="1" s="162">
      <c r="A22" s="46" t="n"/>
      <c r="B22" s="46" t="n"/>
      <c r="C22" s="46" t="n"/>
      <c r="D22" s="46" t="n"/>
      <c r="E22" s="46" t="n"/>
      <c r="F22" s="46" t="n"/>
      <c r="G22" s="46" t="n"/>
      <c r="H22" s="46" t="n"/>
      <c r="I22" s="46" t="n"/>
      <c r="J22" s="46" t="n"/>
      <c r="K22" s="46" t="n"/>
      <c r="L22" s="46" t="n"/>
      <c r="M22" s="46" t="n"/>
      <c r="N22" s="46" t="n"/>
      <c r="O22" s="46" t="n"/>
      <c r="P22" s="46" t="n"/>
      <c r="Q22" s="115" t="n"/>
      <c r="R22" s="46" t="n"/>
      <c r="S22" s="46" t="n"/>
      <c r="T22" s="46" t="n"/>
      <c r="U22" s="46" t="n"/>
      <c r="V22" s="46" t="n"/>
      <c r="W22" s="46" t="n"/>
      <c r="X22" s="46" t="n"/>
      <c r="Y22" s="46" t="n"/>
      <c r="Z22" s="46" t="n"/>
    </row>
    <row r="23" ht="12.75" customHeight="1" s="162">
      <c r="A23" s="46" t="n"/>
      <c r="B23" s="46" t="n"/>
      <c r="C23" s="46" t="n"/>
      <c r="D23" s="46" t="n"/>
      <c r="E23" s="46" t="n"/>
      <c r="F23" s="46" t="n"/>
      <c r="G23" s="46" t="n"/>
      <c r="H23" s="46" t="n"/>
      <c r="I23" s="46" t="n"/>
      <c r="J23" s="46" t="n"/>
      <c r="K23" s="46" t="n"/>
      <c r="L23" s="46" t="n"/>
      <c r="M23" s="46" t="n"/>
      <c r="N23" s="46" t="n"/>
      <c r="O23" s="46" t="n"/>
      <c r="P23" s="46" t="n"/>
      <c r="Q23" s="115" t="n"/>
      <c r="R23" s="46" t="n"/>
      <c r="S23" s="46" t="n"/>
      <c r="T23" s="46" t="n"/>
      <c r="U23" s="46" t="n"/>
      <c r="V23" s="46" t="n"/>
      <c r="W23" s="46" t="n"/>
      <c r="X23" s="46" t="n"/>
      <c r="Y23" s="46" t="n"/>
      <c r="Z23" s="46" t="n"/>
    </row>
    <row r="24" ht="12.75" customHeight="1" s="162">
      <c r="A24" s="46" t="n"/>
      <c r="B24" s="46" t="n"/>
      <c r="C24" s="46" t="n"/>
      <c r="D24" s="46" t="n"/>
      <c r="E24" s="46" t="n"/>
      <c r="F24" s="46" t="n"/>
      <c r="G24" s="46" t="n"/>
      <c r="H24" s="46" t="n"/>
      <c r="I24" s="46" t="n"/>
      <c r="J24" s="46" t="n"/>
      <c r="K24" s="46" t="n"/>
      <c r="L24" s="46" t="n"/>
      <c r="M24" s="46" t="n"/>
      <c r="N24" s="46" t="n"/>
      <c r="O24" s="46" t="n"/>
      <c r="P24" s="46" t="n"/>
      <c r="Q24" s="115" t="n"/>
      <c r="R24" s="46" t="n"/>
      <c r="S24" s="46" t="n"/>
      <c r="T24" s="46" t="n"/>
      <c r="U24" s="46" t="n"/>
      <c r="V24" s="46" t="n"/>
      <c r="W24" s="46" t="n"/>
      <c r="X24" s="46" t="n"/>
      <c r="Y24" s="46" t="n"/>
      <c r="Z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115"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115"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115"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115"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115"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115"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115"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115"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115"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115"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115"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115"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115"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115"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115"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115"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115"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115"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115"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115"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115"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115"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115"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115"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115"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115"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115"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115"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115"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115"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115"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115"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115"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115"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115"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115"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115"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115"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115"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115"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115"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115"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115"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115"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115"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115"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115"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115"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115"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115"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115"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115"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115"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115"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115"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115"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115"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115"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115"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115"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115"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115"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115"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115"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115"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115"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115"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115"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115"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115"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115"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115"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115"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115"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115"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115"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115"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115"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115"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115"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115"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115"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115"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115"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115"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115"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115"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115"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115"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115"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115"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115"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115"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115"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115"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115"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115"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115"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115"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115"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115"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115"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115"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115"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115"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115"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115"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115"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115"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115"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115"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115"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115"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115"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115"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115"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115"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115"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115"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115"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115"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115"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115"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115"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115"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115"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115"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115"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115"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115"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115"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115"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115"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115"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115"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115"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115"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115"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115"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115"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115"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115"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115"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115"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115"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115"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115"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115"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115"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115"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115"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115"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115"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115"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115"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115"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115"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115"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115"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115"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115"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115"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115"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115"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115"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115"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115"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115"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115"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115"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115"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115"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115"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115"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115"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115"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115"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115"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115"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115"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115"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115"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115"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115"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115"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115"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115"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115"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115"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115"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115"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115"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115"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115"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115"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115" t="n"/>
      <c r="R220" s="46" t="n"/>
      <c r="S220" s="46" t="n"/>
      <c r="T220" s="46" t="n"/>
      <c r="U220" s="46" t="n"/>
      <c r="V220" s="46" t="n"/>
      <c r="W220" s="46" t="n"/>
      <c r="X220" s="46" t="n"/>
      <c r="Y220" s="46" t="n"/>
      <c r="Z220" s="46" t="n"/>
    </row>
    <row r="221" ht="12.75" customHeight="1" s="162">
      <c r="A221" s="46" t="n"/>
      <c r="B221" s="46" t="n"/>
      <c r="C221" s="46" t="n"/>
      <c r="D221" s="46" t="n"/>
      <c r="E221" s="46" t="n"/>
      <c r="F221" s="46" t="n"/>
      <c r="G221" s="46" t="n"/>
      <c r="H221" s="46" t="n"/>
      <c r="I221" s="46" t="n"/>
      <c r="J221" s="46" t="n"/>
      <c r="K221" s="46" t="n"/>
      <c r="L221" s="46" t="n"/>
      <c r="M221" s="46" t="n"/>
      <c r="N221" s="46" t="n"/>
      <c r="O221" s="46" t="n"/>
      <c r="P221" s="46" t="n"/>
      <c r="Q221" s="115" t="n"/>
      <c r="R221" s="46" t="n"/>
      <c r="S221" s="46" t="n"/>
      <c r="T221" s="46" t="n"/>
      <c r="U221" s="46" t="n"/>
      <c r="V221" s="46" t="n"/>
      <c r="W221" s="46" t="n"/>
      <c r="X221" s="46" t="n"/>
      <c r="Y221" s="46" t="n"/>
      <c r="Z221" s="46" t="n"/>
    </row>
    <row r="222" ht="15.75" customHeight="1" s="162"/>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3">
    <mergeCell ref="B3:E3"/>
    <mergeCell ref="B2:E2"/>
    <mergeCell ref="B4:E4"/>
  </mergeCells>
  <dataValidations count="1">
    <dataValidation sqref="F12:F21 G2:G3 G9 G22:G146 I12:I21 J2:J3 J9 J22:J146 L12:L21 M2:M3 M9 M22:M146"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Z222"/>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62" min="1" max="1"/>
    <col width="34.5" customWidth="1" style="162" min="2" max="2"/>
    <col width="34.13" customWidth="1" style="162" min="3" max="3"/>
    <col width="34.63" customWidth="1" style="162" min="4" max="4"/>
    <col width="28.38" customWidth="1" style="162" min="5" max="5"/>
    <col width="9.380000000000001" customWidth="1" style="162" min="6" max="6"/>
    <col outlineLevel="1" width="10.63" customWidth="1" style="162" min="7" max="7"/>
    <col outlineLevel="1" width="7" customWidth="1" style="162" min="8" max="8"/>
    <col width="9.380000000000001" customWidth="1" style="162" min="9" max="9"/>
    <col outlineLevel="1" width="10.63" customWidth="1" style="162" min="10" max="10"/>
    <col outlineLevel="1" width="7" customWidth="1" style="162" min="11" max="11"/>
    <col width="9.380000000000001" customWidth="1" style="162" min="12" max="12"/>
    <col outlineLevel="1" width="10.63" customWidth="1" style="162" min="13" max="13"/>
    <col outlineLevel="1" width="7" customWidth="1" style="162" min="14" max="14"/>
    <col width="28.63" customWidth="1" style="162" min="15" max="15"/>
    <col width="10.13" customWidth="1" style="162" min="16" max="16"/>
    <col width="8.130000000000001" customWidth="1" style="162" min="17" max="17"/>
    <col hidden="1" width="7.63" customWidth="1" style="162" min="18" max="18"/>
    <col width="9" customWidth="1" style="162" min="19" max="26"/>
  </cols>
  <sheetData>
    <row r="1" ht="12.75" customHeight="1" s="162">
      <c r="A1" s="46" t="n"/>
      <c r="B1" s="46" t="n"/>
      <c r="C1" s="46" t="n"/>
      <c r="D1" s="46" t="n"/>
      <c r="E1" s="46" t="n"/>
      <c r="F1" s="46" t="n"/>
      <c r="G1" s="46" t="n"/>
      <c r="H1" s="46" t="n"/>
      <c r="I1" s="46" t="n"/>
      <c r="J1" s="46" t="n"/>
      <c r="K1" s="46" t="n"/>
      <c r="L1" s="46" t="n"/>
      <c r="M1" s="46" t="n"/>
      <c r="N1" s="46" t="n"/>
      <c r="O1" s="46" t="n"/>
      <c r="P1" s="46" t="n"/>
      <c r="Q1" s="115" t="n"/>
      <c r="R1" s="46" t="n"/>
      <c r="S1" s="46" t="n"/>
      <c r="T1" s="46" t="n"/>
      <c r="U1" s="46" t="n"/>
      <c r="V1" s="46" t="n"/>
      <c r="W1" s="46" t="n"/>
      <c r="X1" s="46" t="n"/>
      <c r="Y1" s="46" t="n"/>
      <c r="Z1" s="46" t="n"/>
    </row>
    <row r="2" ht="15" customHeight="1" s="162">
      <c r="A2" s="116" t="inlineStr">
        <is>
          <t>Workflow</t>
        </is>
      </c>
      <c r="B2" s="174" t="inlineStr">
        <is>
          <t>View Lab Results</t>
        </is>
      </c>
      <c r="C2" s="175" t="n"/>
      <c r="D2" s="175" t="n"/>
      <c r="E2" s="176" t="n"/>
      <c r="F2" s="120" t="n"/>
      <c r="G2" s="121" t="n"/>
      <c r="H2" s="11" t="n"/>
      <c r="I2" s="120" t="n"/>
      <c r="J2" s="121" t="n"/>
      <c r="K2" s="11" t="n"/>
      <c r="L2" s="120" t="n"/>
      <c r="M2" s="121" t="n"/>
      <c r="N2" s="11" t="n"/>
      <c r="O2" s="11" t="n"/>
      <c r="P2" s="11" t="n"/>
      <c r="Q2" s="122" t="n"/>
      <c r="R2" s="123" t="inlineStr">
        <is>
          <t>Passed</t>
        </is>
      </c>
      <c r="S2" s="123" t="n"/>
      <c r="T2" s="123" t="n"/>
      <c r="U2" s="123" t="n"/>
      <c r="V2" s="123" t="n"/>
      <c r="W2" s="123" t="n"/>
      <c r="X2" s="123" t="n"/>
      <c r="Y2" s="123" t="n"/>
      <c r="Z2" s="123" t="n"/>
    </row>
    <row r="3" ht="12.75" customHeight="1" s="162">
      <c r="A3" s="124" t="inlineStr">
        <is>
          <t>Test requirement</t>
        </is>
      </c>
      <c r="B3" s="177" t="inlineStr">
        <is>
          <t>Verify Patient can view integrated lab results inside EMR. Doctor views requested Lab inside LabOrder Queue</t>
        </is>
      </c>
      <c r="C3" s="164" t="n"/>
      <c r="D3" s="164" t="n"/>
      <c r="E3" s="178" t="n"/>
      <c r="F3" s="120" t="n"/>
      <c r="G3" s="121" t="n"/>
      <c r="H3" s="11" t="n"/>
      <c r="I3" s="120" t="n"/>
      <c r="J3" s="121" t="n"/>
      <c r="K3" s="11" t="n"/>
      <c r="L3" s="120" t="n"/>
      <c r="M3" s="121" t="n"/>
      <c r="N3" s="11" t="n"/>
      <c r="O3" s="11" t="n"/>
      <c r="P3" s="11" t="n"/>
      <c r="Q3" s="122" t="n"/>
      <c r="R3" s="123" t="inlineStr">
        <is>
          <t>Failed</t>
        </is>
      </c>
      <c r="S3" s="123" t="n"/>
      <c r="T3" s="123" t="n"/>
      <c r="U3" s="123" t="n"/>
      <c r="V3" s="123" t="n"/>
      <c r="W3" s="123" t="n"/>
      <c r="X3" s="123" t="n"/>
      <c r="Y3" s="123" t="n"/>
      <c r="Z3" s="123" t="n"/>
    </row>
    <row r="4" ht="18" customHeight="1" s="162">
      <c r="A4" s="124" t="inlineStr">
        <is>
          <t>Number of TCs</t>
        </is>
      </c>
      <c r="B4" s="177">
        <f>COUNTIF(A12:A1002,"TC_*")</f>
        <v/>
      </c>
      <c r="C4" s="164" t="n"/>
      <c r="D4" s="164" t="n"/>
      <c r="E4" s="178" t="n"/>
      <c r="F4" s="120" t="n"/>
      <c r="G4" s="121" t="n"/>
      <c r="H4" s="11" t="n"/>
      <c r="I4" s="120" t="n"/>
      <c r="J4" s="121" t="n"/>
      <c r="K4" s="11" t="n"/>
      <c r="L4" s="120" t="n"/>
      <c r="M4" s="121" t="n"/>
      <c r="N4" s="11" t="n"/>
      <c r="O4" s="11" t="n"/>
      <c r="P4" s="11" t="n"/>
      <c r="Q4" s="122" t="n"/>
      <c r="R4" s="123" t="inlineStr">
        <is>
          <t>Pending</t>
        </is>
      </c>
      <c r="S4" s="123" t="n"/>
      <c r="T4" s="123" t="n"/>
      <c r="U4" s="123" t="n"/>
      <c r="V4" s="123" t="n"/>
      <c r="W4" s="123" t="n"/>
      <c r="X4" s="123" t="n"/>
      <c r="Y4" s="123" t="n"/>
      <c r="Z4" s="123" t="n"/>
    </row>
    <row r="5" ht="19.5" customHeight="1" s="162">
      <c r="A5" s="127" t="inlineStr">
        <is>
          <t>Testing Round</t>
        </is>
      </c>
      <c r="B5" s="128" t="inlineStr">
        <is>
          <t>Passed</t>
        </is>
      </c>
      <c r="C5" s="128" t="inlineStr">
        <is>
          <t>Failed</t>
        </is>
      </c>
      <c r="D5" s="128" t="inlineStr">
        <is>
          <t>Pending</t>
        </is>
      </c>
      <c r="E5" s="129" t="inlineStr">
        <is>
          <t>N/A</t>
        </is>
      </c>
      <c r="F5" s="130" t="n"/>
      <c r="G5" s="130" t="n"/>
      <c r="H5" s="131" t="n"/>
      <c r="I5" s="130" t="n"/>
      <c r="J5" s="130" t="n"/>
      <c r="K5" s="131" t="n"/>
      <c r="L5" s="130" t="n"/>
      <c r="M5" s="130" t="n"/>
      <c r="N5" s="131" t="n"/>
      <c r="O5" s="131" t="n"/>
      <c r="P5" s="131" t="n"/>
      <c r="Q5" s="132" t="n"/>
      <c r="R5" s="123" t="inlineStr">
        <is>
          <t>N/A</t>
        </is>
      </c>
      <c r="S5" s="123" t="n"/>
      <c r="T5" s="123" t="n"/>
      <c r="U5" s="123" t="n"/>
      <c r="V5" s="123" t="n"/>
      <c r="W5" s="123" t="n"/>
      <c r="X5" s="123" t="n"/>
      <c r="Y5" s="123" t="n"/>
      <c r="Z5" s="123" t="n"/>
    </row>
    <row r="6" ht="15" customHeight="1" s="162">
      <c r="A6" s="127" t="inlineStr">
        <is>
          <t>Round 1</t>
        </is>
      </c>
      <c r="B6" s="133">
        <f>COUNTIF($F10:$F998,B5)</f>
        <v/>
      </c>
      <c r="C6" s="133">
        <f>COUNTIF($F10:$F998,C5)</f>
        <v/>
      </c>
      <c r="D6" s="133">
        <f>COUNTIF($F10:$F998,D5)</f>
        <v/>
      </c>
      <c r="E6" s="134">
        <f>COUNTIF($F10:$F998,E5)</f>
        <v/>
      </c>
      <c r="F6" s="135" t="n"/>
      <c r="G6" s="135" t="n"/>
      <c r="H6" s="131" t="n"/>
      <c r="I6" s="135" t="n"/>
      <c r="J6" s="135" t="n"/>
      <c r="K6" s="131" t="n"/>
      <c r="L6" s="135" t="n"/>
      <c r="M6" s="135" t="n"/>
      <c r="N6" s="131" t="n"/>
      <c r="O6" s="131" t="n"/>
      <c r="P6" s="131" t="n"/>
      <c r="Q6" s="132" t="n"/>
      <c r="R6" s="123" t="n"/>
      <c r="S6" s="123" t="n"/>
      <c r="T6" s="123" t="n"/>
      <c r="U6" s="123" t="n"/>
      <c r="V6" s="123" t="n"/>
      <c r="W6" s="123" t="n"/>
      <c r="X6" s="123" t="n"/>
      <c r="Y6" s="123" t="n"/>
      <c r="Z6" s="123" t="n"/>
    </row>
    <row r="7" ht="15" customHeight="1" s="162">
      <c r="A7" s="127" t="inlineStr">
        <is>
          <t>Round 2</t>
        </is>
      </c>
      <c r="B7" s="133">
        <f>COUNTIF($F10:$F998,B5)</f>
        <v/>
      </c>
      <c r="C7" s="133">
        <f>COUNTIF($F10:$F998,C5)</f>
        <v/>
      </c>
      <c r="D7" s="133">
        <f>COUNTIF($F10:$F998,D5)</f>
        <v/>
      </c>
      <c r="E7" s="134">
        <f>COUNTIF($F10:$F998,E5)</f>
        <v/>
      </c>
      <c r="F7" s="135" t="n"/>
      <c r="G7" s="135" t="n"/>
      <c r="H7" s="131" t="n"/>
      <c r="I7" s="135" t="n"/>
      <c r="J7" s="135" t="n"/>
      <c r="K7" s="131" t="n"/>
      <c r="L7" s="135" t="n"/>
      <c r="M7" s="135" t="n"/>
      <c r="N7" s="131" t="n"/>
      <c r="O7" s="131" t="n"/>
      <c r="P7" s="131" t="n"/>
      <c r="Q7" s="132" t="n"/>
      <c r="R7" s="123" t="n"/>
      <c r="S7" s="123" t="n"/>
      <c r="T7" s="123" t="n"/>
      <c r="U7" s="123" t="n"/>
      <c r="V7" s="123" t="n"/>
      <c r="W7" s="123" t="n"/>
      <c r="X7" s="123" t="n"/>
      <c r="Y7" s="123" t="n"/>
      <c r="Z7" s="123" t="n"/>
    </row>
    <row r="8" ht="15" customHeight="1" s="162">
      <c r="A8" s="136" t="inlineStr">
        <is>
          <t>Round 3</t>
        </is>
      </c>
      <c r="B8" s="137">
        <f>COUNTIF($F10:$F998,B5)</f>
        <v/>
      </c>
      <c r="C8" s="137">
        <f>COUNTIF($F10:$F998,C5)</f>
        <v/>
      </c>
      <c r="D8" s="137">
        <f>COUNTIF($F10:$F998,D5)</f>
        <v/>
      </c>
      <c r="E8" s="138">
        <f>COUNTIF($F10:$F998,E5)</f>
        <v/>
      </c>
      <c r="F8" s="135" t="n"/>
      <c r="G8" s="135" t="n"/>
      <c r="H8" s="131" t="n"/>
      <c r="I8" s="135" t="n"/>
      <c r="J8" s="135" t="n"/>
      <c r="K8" s="131" t="n"/>
      <c r="L8" s="135" t="n"/>
      <c r="M8" s="135" t="n"/>
      <c r="N8" s="131" t="n"/>
      <c r="O8" s="131" t="n"/>
      <c r="P8" s="131" t="n"/>
      <c r="Q8" s="132" t="n"/>
      <c r="R8" s="123" t="n"/>
      <c r="S8" s="123" t="n"/>
      <c r="T8" s="123" t="n"/>
      <c r="U8" s="123" t="n"/>
      <c r="V8" s="123" t="n"/>
      <c r="W8" s="123" t="n"/>
      <c r="X8" s="123" t="n"/>
      <c r="Y8" s="123" t="n"/>
      <c r="Z8" s="123" t="n"/>
    </row>
    <row r="9" ht="15" customHeight="1" s="162">
      <c r="A9" s="131" t="n"/>
      <c r="B9" s="131" t="n"/>
      <c r="C9" s="131" t="n"/>
      <c r="D9" s="131" t="n"/>
      <c r="E9" s="131" t="n"/>
      <c r="F9" s="114" t="n"/>
      <c r="G9" s="131" t="n"/>
      <c r="H9" s="131" t="n"/>
      <c r="I9" s="114" t="n"/>
      <c r="J9" s="131" t="n"/>
      <c r="K9" s="131" t="n"/>
      <c r="L9" s="114" t="n"/>
      <c r="M9" s="131" t="n"/>
      <c r="N9" s="131" t="n"/>
      <c r="O9" s="131" t="n"/>
      <c r="P9" s="131" t="n"/>
      <c r="Q9" s="132" t="n"/>
      <c r="R9" s="123" t="n"/>
      <c r="S9" s="123" t="n"/>
      <c r="T9" s="123" t="n"/>
      <c r="U9" s="123" t="n"/>
      <c r="V9" s="123" t="n"/>
      <c r="W9" s="123" t="n"/>
      <c r="X9" s="123" t="n"/>
      <c r="Y9" s="123" t="n"/>
      <c r="Z9" s="123" t="n"/>
    </row>
    <row r="10" ht="25.5" customHeight="1" s="162">
      <c r="A10" s="139" t="inlineStr">
        <is>
          <t>Test Case ID</t>
        </is>
      </c>
      <c r="B10" s="139" t="inlineStr">
        <is>
          <t>Test Case Description</t>
        </is>
      </c>
      <c r="C10" s="139" t="inlineStr">
        <is>
          <t>Test Case Procedure</t>
        </is>
      </c>
      <c r="D10" s="139" t="inlineStr">
        <is>
          <t>Expected Results</t>
        </is>
      </c>
      <c r="E10" s="139" t="inlineStr">
        <is>
          <t>Pre-conditions</t>
        </is>
      </c>
      <c r="F10" s="139" t="inlineStr">
        <is>
          <t>Round 1</t>
        </is>
      </c>
      <c r="G10" s="139" t="inlineStr">
        <is>
          <t>Test date</t>
        </is>
      </c>
      <c r="H10" s="139" t="inlineStr">
        <is>
          <t>Tester</t>
        </is>
      </c>
      <c r="I10" s="139" t="inlineStr">
        <is>
          <t>Round 2</t>
        </is>
      </c>
      <c r="J10" s="139" t="inlineStr">
        <is>
          <t>Test date</t>
        </is>
      </c>
      <c r="K10" s="139" t="inlineStr">
        <is>
          <t>Tester</t>
        </is>
      </c>
      <c r="L10" s="139" t="inlineStr">
        <is>
          <t>Round 3</t>
        </is>
      </c>
      <c r="M10" s="139" t="inlineStr">
        <is>
          <t>Test date</t>
        </is>
      </c>
      <c r="N10" s="139" t="inlineStr">
        <is>
          <t>Tester</t>
        </is>
      </c>
      <c r="O10" s="139" t="inlineStr">
        <is>
          <t>Note</t>
        </is>
      </c>
      <c r="P10" s="123" t="n"/>
      <c r="Q10" s="140" t="n"/>
      <c r="R10" s="123" t="n"/>
      <c r="S10" s="123" t="n"/>
      <c r="T10" s="123" t="n"/>
      <c r="U10" s="123" t="n"/>
      <c r="V10" s="123" t="n"/>
      <c r="W10" s="123" t="n"/>
      <c r="X10" s="123" t="n"/>
      <c r="Y10" s="123" t="n"/>
      <c r="Z10" s="123" t="n"/>
    </row>
    <row r="11" ht="15.75" customHeight="1" s="162">
      <c r="A11" s="158" t="inlineStr">
        <is>
          <t>Scenario A</t>
        </is>
      </c>
      <c r="B11" s="158" t="inlineStr">
        <is>
          <t>Doctor Accessing Lab Results</t>
        </is>
      </c>
      <c r="C11" s="142" t="n"/>
      <c r="D11" s="142" t="n"/>
      <c r="E11" s="142" t="n"/>
      <c r="F11" s="142" t="n"/>
      <c r="G11" s="142" t="n"/>
      <c r="H11" s="142" t="n"/>
      <c r="I11" s="142" t="n"/>
      <c r="J11" s="142" t="n"/>
      <c r="K11" s="142" t="n"/>
      <c r="L11" s="142" t="n"/>
      <c r="M11" s="142" t="n"/>
      <c r="N11" s="142" t="n"/>
      <c r="O11" s="143" t="n"/>
      <c r="P11" s="123" t="n"/>
      <c r="Q11" s="144" t="n"/>
      <c r="R11" s="123" t="n"/>
      <c r="S11" s="123" t="n"/>
      <c r="T11" s="123" t="n"/>
      <c r="U11" s="123" t="n"/>
      <c r="V11" s="123" t="n"/>
      <c r="W11" s="123" t="n"/>
      <c r="X11" s="123" t="n"/>
      <c r="Y11" s="123" t="n"/>
      <c r="Z11" s="123" t="n"/>
    </row>
    <row r="12" outlineLevel="1" ht="150" customHeight="1" s="162">
      <c r="A12" s="159" t="inlineStr">
        <is>
          <t>TC_LR_001</t>
        </is>
      </c>
      <c r="B12" s="159" t="inlineStr">
        <is>
          <t>Patient views integrated lab results inside EMR</t>
        </is>
      </c>
      <c r="C12" s="159" t="inlineStr">
        <is>
          <t>1. Scroll down to the 'Hình ảnh kết quả xét nghiệm' section
2. Observe the metrics and diagnostic scan images</t>
        </is>
      </c>
      <c r="D12" s="160" t="inlineStr">
        <is>
          <t>1. Detailed visual acuity metrics (SPH, CYL, AXIS, IOP, VA, BCVA) are visible
2. Attached scan images (e.g. OCT scans, fundus photos) are rendered properly in the EMR</t>
        </is>
      </c>
      <c r="E12" s="160" t="inlineStr">
        <is>
          <t>1. Patient is logged in and is on the EMR details page of a completed visit containing a lab order</t>
        </is>
      </c>
      <c r="F12" s="155" t="inlineStr">
        <is>
          <t>Pending</t>
        </is>
      </c>
      <c r="G12" s="155" t="n"/>
      <c r="H12" s="155" t="n"/>
      <c r="I12" s="155" t="inlineStr">
        <is>
          <t>Pending</t>
        </is>
      </c>
      <c r="J12" s="155" t="n"/>
      <c r="K12" s="155" t="n"/>
      <c r="L12" s="155" t="inlineStr">
        <is>
          <t>Pending</t>
        </is>
      </c>
      <c r="M12" s="155" t="n"/>
      <c r="N12" s="155" t="n"/>
      <c r="O12" s="155" t="n"/>
      <c r="P12" s="148" t="n"/>
      <c r="Q12" s="149" t="n"/>
      <c r="R12" s="148" t="n"/>
      <c r="S12" s="148" t="n"/>
      <c r="T12" s="148" t="n"/>
      <c r="U12" s="148" t="n"/>
      <c r="V12" s="148" t="n"/>
      <c r="W12" s="148" t="n"/>
      <c r="X12" s="148" t="n"/>
      <c r="Y12" s="148" t="n"/>
      <c r="Z12" s="148" t="n"/>
    </row>
    <row r="13" outlineLevel="1" ht="150" customHeight="1" s="162">
      <c r="A13" s="159" t="inlineStr">
        <is>
          <t>TC_LR_002</t>
        </is>
      </c>
      <c r="B13" s="159" t="inlineStr">
        <is>
          <t>Doctor accesses LabOrder Queue and views created orders</t>
        </is>
      </c>
      <c r="C13" s="159" t="inlineStr">
        <is>
          <t>1. Navigate to the 'LabOrder Queue' page from the sidebar menu
2. Observe the list of lab orders</t>
        </is>
      </c>
      <c r="D13" s="160" t="inlineStr">
        <is>
          <t>1. The page loads successfully, listing all LabOrders requested by this specific doctor
2. Column headers: Patient Name, Date, and Status are displayed</t>
        </is>
      </c>
      <c r="E13" s="160" t="inlineStr">
        <is>
          <t>1. Doctor is logged in to the system</t>
        </is>
      </c>
      <c r="F13" s="155" t="n"/>
      <c r="G13" s="155" t="n"/>
      <c r="H13" s="155" t="n"/>
      <c r="I13" s="155" t="n"/>
      <c r="J13" s="155" t="n"/>
      <c r="K13" s="155" t="n"/>
      <c r="L13" s="155" t="n"/>
      <c r="M13" s="155" t="n"/>
      <c r="N13" s="155" t="n"/>
      <c r="O13" s="155" t="n"/>
      <c r="P13" s="148" t="n"/>
      <c r="Q13" s="149" t="n"/>
      <c r="R13" s="148" t="n"/>
      <c r="S13" s="148" t="n"/>
      <c r="T13" s="148" t="n"/>
      <c r="U13" s="148" t="n"/>
      <c r="V13" s="148" t="n"/>
      <c r="W13" s="148" t="n"/>
      <c r="X13" s="148" t="n"/>
      <c r="Y13" s="148" t="n"/>
      <c r="Z13" s="148" t="n"/>
    </row>
    <row r="14" outlineLevel="1" ht="150" customHeight="1" s="162">
      <c r="A14" s="159" t="inlineStr">
        <is>
          <t>TC_LR_003</t>
        </is>
      </c>
      <c r="B14" s="159" t="inlineStr">
        <is>
          <t>Doctor views LabResults of a SUBMITTED LabOrder</t>
        </is>
      </c>
      <c r="C14" s="159" t="inlineStr">
        <is>
          <t>1. Find a 'SUBMITTED' LabOrder
2. Click the 'Xem &amp; Duyệt kết quả' button</t>
        </is>
      </c>
      <c r="D14" s="160" t="inlineStr">
        <is>
          <t>1. A detailed modal opens showing the results
2. Displays visual acuity metrics (R/L eyes) and the uploaded images entered by the Lab Tech</t>
        </is>
      </c>
      <c r="E14" s="160" t="inlineStr">
        <is>
          <t>1. Doctor is on the LabOrder Queue page
2. There is a LabOrder in the list with status 'SUBMITTED'</t>
        </is>
      </c>
      <c r="F14" s="155" t="n"/>
      <c r="G14" s="155" t="n"/>
      <c r="H14" s="155" t="n"/>
      <c r="I14" s="155" t="n"/>
      <c r="J14" s="155" t="n"/>
      <c r="K14" s="155" t="n"/>
      <c r="L14" s="155" t="n"/>
      <c r="M14" s="155" t="n"/>
      <c r="N14" s="155" t="n"/>
      <c r="O14" s="155" t="n"/>
      <c r="P14" s="148" t="n"/>
      <c r="Q14" s="149" t="n"/>
      <c r="R14" s="148" t="n"/>
      <c r="S14" s="148" t="n"/>
      <c r="T14" s="148" t="n"/>
      <c r="U14" s="148" t="n"/>
      <c r="V14" s="148" t="n"/>
      <c r="W14" s="148" t="n"/>
      <c r="X14" s="148" t="n"/>
      <c r="Y14" s="148" t="n"/>
      <c r="Z14" s="148" t="n"/>
    </row>
    <row r="15" outlineLevel="1" ht="141" customHeight="1" s="162">
      <c r="A15" s="159" t="inlineStr">
        <is>
          <t>TC_LR_004</t>
        </is>
      </c>
      <c r="B15" s="159" t="inlineStr">
        <is>
          <t>Doctor views details of a non-submitted LabOrder ("PENDING")</t>
        </is>
      </c>
      <c r="C15" s="159" t="inlineStr">
        <is>
          <t>1. Locate the non-submitted order ("PENDING")
2. Observe the "Xem &amp; Duyệt kết quả" button</t>
        </is>
      </c>
      <c r="D15" s="159" t="inlineStr">
        <is>
          <t>1. The details page displays order details (Patient Name, Date, Status)
2. The "Xem &amp; Duyệt kết quả" button is not visible</t>
        </is>
      </c>
      <c r="E15" s="159" t="inlineStr">
        <is>
          <t>1. Doctor is on the LabOrder Queue page
2. There is a LabOrder in 'PENDING' or 'IN_PROGRESS' status</t>
        </is>
      </c>
      <c r="F15" s="155" t="inlineStr">
        <is>
          <t>Pending</t>
        </is>
      </c>
      <c r="G15" s="155" t="n"/>
      <c r="H15" s="155" t="n"/>
      <c r="I15" s="155" t="inlineStr">
        <is>
          <t>Pending</t>
        </is>
      </c>
      <c r="J15" s="155" t="n"/>
      <c r="K15" s="155" t="n"/>
      <c r="L15" s="155" t="inlineStr">
        <is>
          <t>Pending</t>
        </is>
      </c>
      <c r="M15" s="155" t="n"/>
      <c r="N15" s="155" t="n"/>
      <c r="O15" s="155" t="n"/>
      <c r="P15" s="148" t="n"/>
      <c r="Q15" s="149" t="n"/>
      <c r="R15" s="148" t="n"/>
      <c r="S15" s="148" t="n"/>
      <c r="T15" s="148" t="n"/>
      <c r="U15" s="148" t="n"/>
      <c r="V15" s="148" t="n"/>
      <c r="W15" s="148" t="n"/>
      <c r="X15" s="148" t="n"/>
      <c r="Y15" s="148" t="n"/>
      <c r="Z15" s="148" t="n"/>
    </row>
    <row r="16" ht="15.75" customHeight="1" s="162">
      <c r="A16" s="158" t="n"/>
      <c r="B16" s="161" t="n"/>
      <c r="C16" s="151" t="n"/>
      <c r="D16" s="151" t="n"/>
      <c r="E16" s="151" t="n"/>
      <c r="F16" s="151" t="n"/>
      <c r="G16" s="151" t="n"/>
      <c r="H16" s="151" t="n"/>
      <c r="I16" s="151" t="n"/>
      <c r="J16" s="151" t="n"/>
      <c r="K16" s="151" t="n"/>
      <c r="L16" s="151" t="n"/>
      <c r="M16" s="151" t="n"/>
      <c r="N16" s="151" t="n"/>
      <c r="O16" s="152" t="n"/>
      <c r="P16" s="123" t="n"/>
      <c r="Q16" s="144" t="n"/>
      <c r="R16" s="123" t="n"/>
      <c r="S16" s="123" t="n"/>
      <c r="T16" s="123" t="n"/>
      <c r="U16" s="123" t="n"/>
      <c r="V16" s="123" t="n"/>
      <c r="W16" s="123" t="n"/>
      <c r="X16" s="123" t="n"/>
      <c r="Y16" s="123" t="n"/>
      <c r="Z16" s="123" t="n"/>
    </row>
    <row r="17" outlineLevel="1" ht="79.5" customHeight="1" s="162">
      <c r="A17" s="159" t="n"/>
      <c r="B17" s="159" t="n"/>
      <c r="C17" s="159" t="n"/>
      <c r="D17" s="159" t="n"/>
      <c r="E17" s="159" t="n"/>
      <c r="F17" s="155" t="inlineStr">
        <is>
          <t>Pending</t>
        </is>
      </c>
      <c r="G17" s="155" t="n"/>
      <c r="H17" s="155" t="n"/>
      <c r="I17" s="155" t="inlineStr">
        <is>
          <t>Pending</t>
        </is>
      </c>
      <c r="J17" s="155" t="n"/>
      <c r="K17" s="155" t="n"/>
      <c r="L17" s="155" t="inlineStr">
        <is>
          <t>Pending</t>
        </is>
      </c>
      <c r="M17" s="155" t="n"/>
      <c r="N17" s="155" t="n"/>
      <c r="O17" s="155" t="n"/>
      <c r="P17" s="46" t="n"/>
      <c r="Q17" s="149" t="n"/>
      <c r="R17" s="46" t="n"/>
      <c r="S17" s="46" t="n"/>
      <c r="T17" s="46" t="n"/>
      <c r="U17" s="46" t="n"/>
      <c r="V17" s="46" t="n"/>
      <c r="W17" s="46" t="n"/>
      <c r="X17" s="46" t="n"/>
      <c r="Y17" s="46" t="n"/>
      <c r="Z17" s="46" t="n"/>
    </row>
    <row r="18" outlineLevel="1" ht="78.75" customHeight="1" s="162">
      <c r="A18" s="159" t="n"/>
      <c r="B18" s="159" t="n"/>
      <c r="C18" s="159" t="n"/>
      <c r="D18" s="159" t="n"/>
      <c r="E18" s="159" t="n"/>
      <c r="F18" s="155" t="inlineStr">
        <is>
          <t>Pending</t>
        </is>
      </c>
      <c r="G18" s="153" t="n"/>
      <c r="H18" s="153" t="n"/>
      <c r="I18" s="155" t="inlineStr">
        <is>
          <t>Pending</t>
        </is>
      </c>
      <c r="J18" s="153" t="n"/>
      <c r="K18" s="153" t="n"/>
      <c r="L18" s="155" t="inlineStr">
        <is>
          <t>Pending</t>
        </is>
      </c>
      <c r="M18" s="153" t="n"/>
      <c r="N18" s="153" t="n"/>
      <c r="O18" s="153" t="n"/>
      <c r="P18" s="46" t="n"/>
      <c r="Q18" s="115" t="n"/>
      <c r="R18" s="46" t="n"/>
      <c r="S18" s="46" t="n"/>
      <c r="T18" s="46" t="n"/>
      <c r="U18" s="46" t="n"/>
      <c r="V18" s="46" t="n"/>
      <c r="W18" s="46" t="n"/>
      <c r="X18" s="46" t="n"/>
      <c r="Y18" s="46" t="n"/>
      <c r="Z18" s="46" t="n"/>
    </row>
    <row r="19" ht="15.75" customHeight="1" s="162">
      <c r="A19" s="158" t="n"/>
      <c r="B19" s="161" t="n"/>
      <c r="C19" s="151" t="n"/>
      <c r="D19" s="151" t="n"/>
      <c r="E19" s="151" t="n"/>
      <c r="F19" s="151" t="n"/>
      <c r="G19" s="151" t="n"/>
      <c r="H19" s="151" t="n"/>
      <c r="I19" s="151" t="n"/>
      <c r="J19" s="151" t="n"/>
      <c r="K19" s="151" t="n"/>
      <c r="L19" s="151" t="n"/>
      <c r="M19" s="151" t="n"/>
      <c r="N19" s="151" t="n"/>
      <c r="O19" s="152" t="n"/>
      <c r="P19" s="123" t="n"/>
      <c r="Q19" s="144" t="n"/>
      <c r="R19" s="123" t="n"/>
      <c r="S19" s="123" t="n"/>
      <c r="T19" s="123" t="n"/>
      <c r="U19" s="123" t="n"/>
      <c r="V19" s="123" t="n"/>
      <c r="W19" s="123" t="n"/>
      <c r="X19" s="123" t="n"/>
      <c r="Y19" s="123" t="n"/>
      <c r="Z19" s="123" t="n"/>
    </row>
    <row r="20" ht="134.25" customHeight="1" s="162">
      <c r="A20" s="159" t="n"/>
      <c r="B20" s="159" t="n"/>
      <c r="C20" s="159" t="n"/>
      <c r="D20" s="159" t="n"/>
      <c r="E20" s="159" t="n"/>
      <c r="F20" s="154" t="inlineStr">
        <is>
          <t>Pending</t>
        </is>
      </c>
      <c r="G20" s="154" t="n"/>
      <c r="H20" s="155" t="n"/>
      <c r="I20" s="154" t="inlineStr">
        <is>
          <t>Pending</t>
        </is>
      </c>
      <c r="J20" s="154" t="n"/>
      <c r="K20" s="155" t="n"/>
      <c r="L20" s="154" t="inlineStr">
        <is>
          <t>Pending</t>
        </is>
      </c>
      <c r="M20" s="153" t="n"/>
      <c r="N20" s="46" t="n"/>
      <c r="O20" s="155" t="n"/>
      <c r="P20" s="115" t="n"/>
      <c r="Q20" s="46" t="n"/>
      <c r="R20" s="46" t="n"/>
      <c r="S20" s="46" t="n"/>
      <c r="T20" s="46" t="n"/>
      <c r="U20" s="46" t="n"/>
      <c r="V20" s="46" t="n"/>
      <c r="W20" s="46" t="n"/>
      <c r="X20" s="46" t="n"/>
      <c r="Y20" s="46" t="n"/>
    </row>
    <row r="21" ht="99" customHeight="1" s="162">
      <c r="A21" s="159" t="n"/>
      <c r="B21" s="159" t="n"/>
      <c r="C21" s="159" t="n"/>
      <c r="D21" s="159" t="n"/>
      <c r="E21" s="159" t="n"/>
      <c r="F21" s="154" t="inlineStr">
        <is>
          <t>Pending</t>
        </is>
      </c>
      <c r="G21" s="154" t="n"/>
      <c r="H21" s="155" t="n"/>
      <c r="I21" s="154" t="inlineStr">
        <is>
          <t>Pending</t>
        </is>
      </c>
      <c r="J21" s="154" t="n"/>
      <c r="K21" s="155" t="n"/>
      <c r="L21" s="154" t="inlineStr">
        <is>
          <t>Pending</t>
        </is>
      </c>
      <c r="M21" s="153" t="n"/>
      <c r="N21" s="153" t="n"/>
      <c r="O21" s="155" t="n"/>
      <c r="P21" s="115" t="n"/>
      <c r="Q21" s="46" t="n"/>
      <c r="R21" s="46" t="n"/>
      <c r="S21" s="46" t="n"/>
      <c r="T21" s="46" t="n"/>
      <c r="U21" s="46" t="n"/>
      <c r="V21" s="46" t="n"/>
      <c r="W21" s="46" t="n"/>
      <c r="X21" s="46" t="n"/>
      <c r="Y21" s="46" t="n"/>
    </row>
    <row r="22" ht="149.25" customHeight="1" s="162">
      <c r="A22" s="159" t="n"/>
      <c r="B22" s="159" t="n"/>
      <c r="C22" s="159" t="n"/>
      <c r="D22" s="159" t="n"/>
      <c r="E22" s="159" t="n"/>
      <c r="F22" s="154" t="inlineStr">
        <is>
          <t>Pending</t>
        </is>
      </c>
      <c r="G22" s="154" t="n"/>
      <c r="H22" s="155" t="n"/>
      <c r="I22" s="154" t="inlineStr">
        <is>
          <t>Pending</t>
        </is>
      </c>
      <c r="J22" s="154" t="n"/>
      <c r="K22" s="155" t="n"/>
      <c r="L22" s="154" t="inlineStr">
        <is>
          <t>Pending</t>
        </is>
      </c>
      <c r="M22" s="153" t="n"/>
      <c r="N22" s="153" t="n"/>
      <c r="O22" s="155" t="n"/>
      <c r="P22" s="115" t="n"/>
      <c r="Q22" s="46" t="n"/>
      <c r="R22" s="46" t="n"/>
      <c r="S22" s="46" t="n"/>
      <c r="T22" s="46" t="n"/>
      <c r="U22" s="46" t="n"/>
      <c r="V22" s="46" t="n"/>
      <c r="W22" s="46" t="n"/>
      <c r="X22" s="46" t="n"/>
      <c r="Y22" s="46" t="n"/>
    </row>
    <row r="23" ht="12.75" customHeight="1" s="162">
      <c r="A23" s="46" t="n"/>
      <c r="B23" s="46" t="n"/>
      <c r="C23" s="46" t="n"/>
      <c r="D23" s="46" t="n"/>
      <c r="E23" s="46" t="n"/>
      <c r="F23" s="46" t="n"/>
      <c r="G23" s="46" t="n"/>
      <c r="H23" s="46" t="n"/>
      <c r="I23" s="46" t="n"/>
      <c r="J23" s="46" t="n"/>
      <c r="K23" s="46" t="n"/>
      <c r="L23" s="46" t="n"/>
      <c r="M23" s="46" t="n"/>
      <c r="N23" s="46" t="n"/>
      <c r="O23" s="46" t="n"/>
      <c r="P23" s="46" t="n"/>
      <c r="Q23" s="115" t="n"/>
      <c r="R23" s="46" t="n"/>
      <c r="S23" s="46" t="n"/>
      <c r="T23" s="46" t="n"/>
      <c r="U23" s="46" t="n"/>
      <c r="V23" s="46" t="n"/>
      <c r="W23" s="46" t="n"/>
      <c r="X23" s="46" t="n"/>
      <c r="Y23" s="46" t="n"/>
      <c r="Z23" s="46" t="n"/>
    </row>
    <row r="24" ht="12.75" customHeight="1" s="162">
      <c r="A24" s="46" t="n"/>
      <c r="B24" s="46" t="n"/>
      <c r="C24" s="46" t="n"/>
      <c r="D24" s="46" t="n"/>
      <c r="E24" s="46" t="n"/>
      <c r="F24" s="46" t="n"/>
      <c r="G24" s="46" t="n"/>
      <c r="H24" s="46" t="n"/>
      <c r="I24" s="46" t="n"/>
      <c r="J24" s="46" t="n"/>
      <c r="K24" s="46" t="n"/>
      <c r="L24" s="46" t="n"/>
      <c r="M24" s="46" t="n"/>
      <c r="N24" s="46" t="n"/>
      <c r="O24" s="46" t="n"/>
      <c r="P24" s="46" t="n"/>
      <c r="Q24" s="115" t="n"/>
      <c r="R24" s="46" t="n"/>
      <c r="S24" s="46" t="n"/>
      <c r="T24" s="46" t="n"/>
      <c r="U24" s="46" t="n"/>
      <c r="V24" s="46" t="n"/>
      <c r="W24" s="46" t="n"/>
      <c r="X24" s="46" t="n"/>
      <c r="Y24" s="46" t="n"/>
      <c r="Z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115"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115"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115"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115"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115"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115"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115"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115"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115"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115"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115"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115"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115"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115"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115"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115"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115"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115"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115"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115"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115"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115"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115"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115"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115"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115"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115"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115"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115"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115"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115"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115"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115"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115"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115"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115"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115"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115"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115"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115"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115"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115"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115"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115"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115"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115"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115"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115"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115"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115"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115"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115"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115"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115"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115"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115"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115"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115"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115"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115"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115"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115"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115"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115"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115"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115"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115"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115"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115"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115"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115"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115"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115"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115"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115"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115"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115"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115"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115"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115"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115"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115"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115"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115"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115"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115"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115"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115"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115"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115"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115"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115"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115"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115"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115"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115"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115"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115"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115"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115"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115"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115"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115"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115"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115"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115"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115"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115"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115"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115"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115"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115"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115"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115"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115"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115"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115"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115"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115"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115"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115"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115"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115"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115"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115"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115"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115"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115"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115"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115"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115"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115"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115"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115"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115"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115"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115"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115"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115"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115"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115"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115"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115"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115"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115"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115"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115"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115"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115"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115"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115"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115"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115"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115"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115"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115"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115"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115"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115"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115"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115"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115"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115"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115"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115"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115"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115"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115"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115"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115"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115"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115"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115"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115"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115"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115"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115"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115"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115"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115"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115"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115"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115"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115"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115"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115"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115"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115"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115"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115"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115"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115"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115"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115"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115"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115" t="n"/>
      <c r="R220" s="46" t="n"/>
      <c r="S220" s="46" t="n"/>
      <c r="T220" s="46" t="n"/>
      <c r="U220" s="46" t="n"/>
      <c r="V220" s="46" t="n"/>
      <c r="W220" s="46" t="n"/>
      <c r="X220" s="46" t="n"/>
      <c r="Y220" s="46" t="n"/>
      <c r="Z220" s="46" t="n"/>
    </row>
    <row r="221" ht="12.75" customHeight="1" s="162">
      <c r="A221" s="46" t="n"/>
      <c r="B221" s="46" t="n"/>
      <c r="C221" s="46" t="n"/>
      <c r="D221" s="46" t="n"/>
      <c r="E221" s="46" t="n"/>
      <c r="F221" s="46" t="n"/>
      <c r="G221" s="46" t="n"/>
      <c r="H221" s="46" t="n"/>
      <c r="I221" s="46" t="n"/>
      <c r="J221" s="46" t="n"/>
      <c r="K221" s="46" t="n"/>
      <c r="L221" s="46" t="n"/>
      <c r="M221" s="46" t="n"/>
      <c r="N221" s="46" t="n"/>
      <c r="O221" s="46" t="n"/>
      <c r="P221" s="46" t="n"/>
      <c r="Q221" s="115" t="n"/>
      <c r="R221" s="46" t="n"/>
      <c r="S221" s="46" t="n"/>
      <c r="T221" s="46" t="n"/>
      <c r="U221" s="46" t="n"/>
      <c r="V221" s="46" t="n"/>
      <c r="W221" s="46" t="n"/>
      <c r="X221" s="46" t="n"/>
      <c r="Y221" s="46" t="n"/>
      <c r="Z221" s="46" t="n"/>
    </row>
    <row r="222" ht="12.75" customHeight="1" s="162">
      <c r="A222" s="46" t="n"/>
      <c r="B222" s="46" t="n"/>
      <c r="C222" s="46" t="n"/>
      <c r="D222" s="46" t="n"/>
      <c r="E222" s="46" t="n"/>
      <c r="F222" s="46" t="n"/>
      <c r="G222" s="46" t="n"/>
      <c r="H222" s="46" t="n"/>
      <c r="I222" s="46" t="n"/>
      <c r="J222" s="46" t="n"/>
      <c r="K222" s="46" t="n"/>
      <c r="L222" s="46" t="n"/>
      <c r="M222" s="46" t="n"/>
      <c r="N222" s="46" t="n"/>
      <c r="O222" s="46" t="n"/>
      <c r="P222" s="46" t="n"/>
      <c r="Q222" s="115" t="n"/>
      <c r="R222" s="46" t="n"/>
      <c r="S222" s="46" t="n"/>
      <c r="T222" s="46" t="n"/>
      <c r="U222" s="46" t="n"/>
      <c r="V222" s="46" t="n"/>
      <c r="W222" s="46" t="n"/>
      <c r="X222" s="46" t="n"/>
      <c r="Y222" s="46" t="n"/>
      <c r="Z222" s="46" t="n"/>
    </row>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3">
    <mergeCell ref="B3:E3"/>
    <mergeCell ref="B2:E2"/>
    <mergeCell ref="B4:E4"/>
  </mergeCells>
  <dataValidations count="1">
    <dataValidation sqref="F12:F22 G2:G3 G9 G23:G147 I12:I22 J2:J3 J9 J23:J147 L12:L22 M2:M3 M9 M23:M147"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Z224"/>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62" min="1" max="1"/>
    <col width="34.5" customWidth="1" style="162" min="2" max="2"/>
    <col width="34.13" customWidth="1" style="162" min="3" max="3"/>
    <col width="34.63" customWidth="1" style="162" min="4" max="4"/>
    <col width="28.38" customWidth="1" style="162" min="5" max="5"/>
    <col width="9.380000000000001" customWidth="1" style="162" min="6" max="6"/>
    <col outlineLevel="1" width="10.63" customWidth="1" style="162" min="7" max="7"/>
    <col outlineLevel="1" width="7" customWidth="1" style="162" min="8" max="8"/>
    <col width="9.380000000000001" customWidth="1" style="162" min="9" max="9"/>
    <col outlineLevel="1" width="10.63" customWidth="1" style="162" min="10" max="10"/>
    <col outlineLevel="1" width="7" customWidth="1" style="162" min="11" max="11"/>
    <col width="9.380000000000001" customWidth="1" style="162" min="12" max="12"/>
    <col outlineLevel="1" width="10.63" customWidth="1" style="162" min="13" max="13"/>
    <col outlineLevel="1" width="7" customWidth="1" style="162" min="14" max="14"/>
    <col width="28.63" customWidth="1" style="162" min="15" max="15"/>
    <col width="10.13" customWidth="1" style="162" min="16" max="16"/>
    <col width="8.130000000000001" customWidth="1" style="162" min="17" max="17"/>
    <col hidden="1" width="7.63" customWidth="1" style="162" min="18" max="18"/>
    <col width="9" customWidth="1" style="162" min="19" max="26"/>
  </cols>
  <sheetData>
    <row r="1" ht="12.75" customHeight="1" s="162">
      <c r="A1" s="46" t="n"/>
      <c r="B1" s="46" t="n"/>
      <c r="C1" s="46" t="n"/>
      <c r="D1" s="46" t="n"/>
      <c r="E1" s="46" t="n"/>
      <c r="F1" s="46" t="n"/>
      <c r="G1" s="46" t="n"/>
      <c r="H1" s="46" t="n"/>
      <c r="I1" s="46" t="n"/>
      <c r="J1" s="46" t="n"/>
      <c r="K1" s="46" t="n"/>
      <c r="L1" s="46" t="n"/>
      <c r="M1" s="46" t="n"/>
      <c r="N1" s="46" t="n"/>
      <c r="O1" s="46" t="n"/>
      <c r="P1" s="46" t="n"/>
      <c r="Q1" s="115" t="n"/>
      <c r="R1" s="46" t="n"/>
      <c r="S1" s="46" t="n"/>
      <c r="T1" s="46" t="n"/>
      <c r="U1" s="46" t="n"/>
      <c r="V1" s="46" t="n"/>
      <c r="W1" s="46" t="n"/>
      <c r="X1" s="46" t="n"/>
      <c r="Y1" s="46" t="n"/>
      <c r="Z1" s="46" t="n"/>
    </row>
    <row r="2" ht="15" customHeight="1" s="162">
      <c r="A2" s="116" t="inlineStr">
        <is>
          <t>Workflow</t>
        </is>
      </c>
      <c r="B2" s="174" t="inlineStr">
        <is>
          <t>Review Submitted Lab Results</t>
        </is>
      </c>
      <c r="C2" s="175" t="n"/>
      <c r="D2" s="175" t="n"/>
      <c r="E2" s="176" t="n"/>
      <c r="F2" s="120" t="n"/>
      <c r="G2" s="121" t="n"/>
      <c r="H2" s="11" t="n"/>
      <c r="I2" s="120" t="n"/>
      <c r="J2" s="121" t="n"/>
      <c r="K2" s="11" t="n"/>
      <c r="L2" s="120" t="n"/>
      <c r="M2" s="121" t="n"/>
      <c r="N2" s="11" t="n"/>
      <c r="O2" s="11" t="n"/>
      <c r="P2" s="11" t="n"/>
      <c r="Q2" s="122" t="n"/>
      <c r="R2" s="123" t="inlineStr">
        <is>
          <t>Passed</t>
        </is>
      </c>
      <c r="S2" s="123" t="n"/>
      <c r="T2" s="123" t="n"/>
      <c r="U2" s="123" t="n"/>
      <c r="V2" s="123" t="n"/>
      <c r="W2" s="123" t="n"/>
      <c r="X2" s="123" t="n"/>
      <c r="Y2" s="123" t="n"/>
      <c r="Z2" s="123" t="n"/>
    </row>
    <row r="3" ht="12.75" customHeight="1" s="162">
      <c r="A3" s="124" t="inlineStr">
        <is>
          <t>Test requirement</t>
        </is>
      </c>
      <c r="B3" s="177" t="inlineStr">
        <is>
          <t>Doctor reviews submitted lab results and has the authority to Approve (auto-fill to EMR) or Reject (creates a duplicate retest LabOrder)</t>
        </is>
      </c>
      <c r="C3" s="164" t="n"/>
      <c r="D3" s="164" t="n"/>
      <c r="E3" s="178" t="n"/>
      <c r="F3" s="120" t="n"/>
      <c r="G3" s="121" t="n"/>
      <c r="H3" s="11" t="n"/>
      <c r="I3" s="120" t="n"/>
      <c r="J3" s="121" t="n"/>
      <c r="K3" s="11" t="n"/>
      <c r="L3" s="120" t="n"/>
      <c r="M3" s="121" t="n"/>
      <c r="N3" s="11" t="n"/>
      <c r="O3" s="11" t="n"/>
      <c r="P3" s="11" t="n"/>
      <c r="Q3" s="122" t="n"/>
      <c r="R3" s="123" t="inlineStr">
        <is>
          <t>Failed</t>
        </is>
      </c>
      <c r="S3" s="123" t="n"/>
      <c r="T3" s="123" t="n"/>
      <c r="U3" s="123" t="n"/>
      <c r="V3" s="123" t="n"/>
      <c r="W3" s="123" t="n"/>
      <c r="X3" s="123" t="n"/>
      <c r="Y3" s="123" t="n"/>
      <c r="Z3" s="123" t="n"/>
    </row>
    <row r="4" ht="18" customHeight="1" s="162">
      <c r="A4" s="124" t="inlineStr">
        <is>
          <t>Number of TCs</t>
        </is>
      </c>
      <c r="B4" s="177">
        <f>COUNTIF(A12:A1004,"TC_*")</f>
        <v/>
      </c>
      <c r="C4" s="164" t="n"/>
      <c r="D4" s="164" t="n"/>
      <c r="E4" s="178" t="n"/>
      <c r="F4" s="120" t="n"/>
      <c r="G4" s="121" t="n"/>
      <c r="H4" s="11" t="n"/>
      <c r="I4" s="120" t="n"/>
      <c r="J4" s="121" t="n"/>
      <c r="K4" s="11" t="n"/>
      <c r="L4" s="120" t="n"/>
      <c r="M4" s="121" t="n"/>
      <c r="N4" s="11" t="n"/>
      <c r="O4" s="11" t="n"/>
      <c r="P4" s="11" t="n"/>
      <c r="Q4" s="122" t="n"/>
      <c r="R4" s="123" t="inlineStr">
        <is>
          <t>Pending</t>
        </is>
      </c>
      <c r="S4" s="123" t="n"/>
      <c r="T4" s="123" t="n"/>
      <c r="U4" s="123" t="n"/>
      <c r="V4" s="123" t="n"/>
      <c r="W4" s="123" t="n"/>
      <c r="X4" s="123" t="n"/>
      <c r="Y4" s="123" t="n"/>
      <c r="Z4" s="123" t="n"/>
    </row>
    <row r="5" ht="19.5" customHeight="1" s="162">
      <c r="A5" s="127" t="inlineStr">
        <is>
          <t>Testing Round</t>
        </is>
      </c>
      <c r="B5" s="128" t="inlineStr">
        <is>
          <t>Passed</t>
        </is>
      </c>
      <c r="C5" s="128" t="inlineStr">
        <is>
          <t>Failed</t>
        </is>
      </c>
      <c r="D5" s="128" t="inlineStr">
        <is>
          <t>Pending</t>
        </is>
      </c>
      <c r="E5" s="129" t="inlineStr">
        <is>
          <t>N/A</t>
        </is>
      </c>
      <c r="F5" s="130" t="n"/>
      <c r="G5" s="130" t="n"/>
      <c r="H5" s="131" t="n"/>
      <c r="I5" s="130" t="n"/>
      <c r="J5" s="130" t="n"/>
      <c r="K5" s="131" t="n"/>
      <c r="L5" s="130" t="n"/>
      <c r="M5" s="130" t="n"/>
      <c r="N5" s="131" t="n"/>
      <c r="O5" s="131" t="n"/>
      <c r="P5" s="131" t="n"/>
      <c r="Q5" s="132" t="n"/>
      <c r="R5" s="123" t="inlineStr">
        <is>
          <t>N/A</t>
        </is>
      </c>
      <c r="S5" s="123" t="n"/>
      <c r="T5" s="123" t="n"/>
      <c r="U5" s="123" t="n"/>
      <c r="V5" s="123" t="n"/>
      <c r="W5" s="123" t="n"/>
      <c r="X5" s="123" t="n"/>
      <c r="Y5" s="123" t="n"/>
      <c r="Z5" s="123" t="n"/>
    </row>
    <row r="6" ht="15" customHeight="1" s="162">
      <c r="A6" s="127" t="inlineStr">
        <is>
          <t>Round 1</t>
        </is>
      </c>
      <c r="B6" s="133">
        <f>COUNTIF($F10:$F1000,B5)</f>
        <v/>
      </c>
      <c r="C6" s="133">
        <f>COUNTIF($F10:$F1000,C5)</f>
        <v/>
      </c>
      <c r="D6" s="133">
        <f>COUNTIF($F10:$F1000,D5)</f>
        <v/>
      </c>
      <c r="E6" s="134">
        <f>COUNTIF($F10:$F1000,E5)</f>
        <v/>
      </c>
      <c r="F6" s="135" t="n"/>
      <c r="G6" s="135" t="n"/>
      <c r="H6" s="131" t="n"/>
      <c r="I6" s="135" t="n"/>
      <c r="J6" s="135" t="n"/>
      <c r="K6" s="131" t="n"/>
      <c r="L6" s="135" t="n"/>
      <c r="M6" s="135" t="n"/>
      <c r="N6" s="131" t="n"/>
      <c r="O6" s="131" t="n"/>
      <c r="P6" s="131" t="n"/>
      <c r="Q6" s="132" t="n"/>
      <c r="R6" s="123" t="n"/>
      <c r="S6" s="123" t="n"/>
      <c r="T6" s="123" t="n"/>
      <c r="U6" s="123" t="n"/>
      <c r="V6" s="123" t="n"/>
      <c r="W6" s="123" t="n"/>
      <c r="X6" s="123" t="n"/>
      <c r="Y6" s="123" t="n"/>
      <c r="Z6" s="123" t="n"/>
    </row>
    <row r="7" ht="15" customHeight="1" s="162">
      <c r="A7" s="127" t="inlineStr">
        <is>
          <t>Round 2</t>
        </is>
      </c>
      <c r="B7" s="133">
        <f>COUNTIF($F10:$F1000,B5)</f>
        <v/>
      </c>
      <c r="C7" s="133">
        <f>COUNTIF($F10:$F1000,C5)</f>
        <v/>
      </c>
      <c r="D7" s="133">
        <f>COUNTIF($F10:$F1000,D5)</f>
        <v/>
      </c>
      <c r="E7" s="134">
        <f>COUNTIF($F10:$F1000,E5)</f>
        <v/>
      </c>
      <c r="F7" s="135" t="n"/>
      <c r="G7" s="135" t="n"/>
      <c r="H7" s="131" t="n"/>
      <c r="I7" s="135" t="n"/>
      <c r="J7" s="135" t="n"/>
      <c r="K7" s="131" t="n"/>
      <c r="L7" s="135" t="n"/>
      <c r="M7" s="135" t="n"/>
      <c r="N7" s="131" t="n"/>
      <c r="O7" s="131" t="n"/>
      <c r="P7" s="131" t="n"/>
      <c r="Q7" s="132" t="n"/>
      <c r="R7" s="123" t="n"/>
      <c r="S7" s="123" t="n"/>
      <c r="T7" s="123" t="n"/>
      <c r="U7" s="123" t="n"/>
      <c r="V7" s="123" t="n"/>
      <c r="W7" s="123" t="n"/>
      <c r="X7" s="123" t="n"/>
      <c r="Y7" s="123" t="n"/>
      <c r="Z7" s="123" t="n"/>
    </row>
    <row r="8" ht="15" customHeight="1" s="162">
      <c r="A8" s="136" t="inlineStr">
        <is>
          <t>Round 3</t>
        </is>
      </c>
      <c r="B8" s="137">
        <f>COUNTIF($F10:$F1000,B5)</f>
        <v/>
      </c>
      <c r="C8" s="137">
        <f>COUNTIF($F10:$F1000,C5)</f>
        <v/>
      </c>
      <c r="D8" s="137">
        <f>COUNTIF($F10:$F1000,D5)</f>
        <v/>
      </c>
      <c r="E8" s="138">
        <f>COUNTIF($F10:$F1000,E5)</f>
        <v/>
      </c>
      <c r="F8" s="135" t="n"/>
      <c r="G8" s="135" t="n"/>
      <c r="H8" s="131" t="n"/>
      <c r="I8" s="135" t="n"/>
      <c r="J8" s="135" t="n"/>
      <c r="K8" s="131" t="n"/>
      <c r="L8" s="135" t="n"/>
      <c r="M8" s="135" t="n"/>
      <c r="N8" s="131" t="n"/>
      <c r="O8" s="131" t="n"/>
      <c r="P8" s="131" t="n"/>
      <c r="Q8" s="132" t="n"/>
      <c r="R8" s="123" t="n"/>
      <c r="S8" s="123" t="n"/>
      <c r="T8" s="123" t="n"/>
      <c r="U8" s="123" t="n"/>
      <c r="V8" s="123" t="n"/>
      <c r="W8" s="123" t="n"/>
      <c r="X8" s="123" t="n"/>
      <c r="Y8" s="123" t="n"/>
      <c r="Z8" s="123" t="n"/>
    </row>
    <row r="9" ht="15" customHeight="1" s="162">
      <c r="A9" s="131" t="n"/>
      <c r="B9" s="131" t="n"/>
      <c r="C9" s="131" t="n"/>
      <c r="D9" s="131" t="n"/>
      <c r="E9" s="131" t="n"/>
      <c r="F9" s="114" t="n"/>
      <c r="G9" s="131" t="n"/>
      <c r="H9" s="131" t="n"/>
      <c r="I9" s="114" t="n"/>
      <c r="J9" s="131" t="n"/>
      <c r="K9" s="131" t="n"/>
      <c r="L9" s="114" t="n"/>
      <c r="M9" s="131" t="n"/>
      <c r="N9" s="131" t="n"/>
      <c r="O9" s="131" t="n"/>
      <c r="P9" s="131" t="n"/>
      <c r="Q9" s="132" t="n"/>
      <c r="R9" s="123" t="n"/>
      <c r="S9" s="123" t="n"/>
      <c r="T9" s="123" t="n"/>
      <c r="U9" s="123" t="n"/>
      <c r="V9" s="123" t="n"/>
      <c r="W9" s="123" t="n"/>
      <c r="X9" s="123" t="n"/>
      <c r="Y9" s="123" t="n"/>
      <c r="Z9" s="123" t="n"/>
    </row>
    <row r="10" ht="25.5" customHeight="1" s="162">
      <c r="A10" s="139" t="inlineStr">
        <is>
          <t>Test Case ID</t>
        </is>
      </c>
      <c r="B10" s="139" t="inlineStr">
        <is>
          <t>Test Case Description</t>
        </is>
      </c>
      <c r="C10" s="139" t="inlineStr">
        <is>
          <t>Test Case Procedure</t>
        </is>
      </c>
      <c r="D10" s="139" t="inlineStr">
        <is>
          <t>Expected Results</t>
        </is>
      </c>
      <c r="E10" s="139" t="inlineStr">
        <is>
          <t>Pre-conditions</t>
        </is>
      </c>
      <c r="F10" s="139" t="inlineStr">
        <is>
          <t>Round 1</t>
        </is>
      </c>
      <c r="G10" s="139" t="inlineStr">
        <is>
          <t>Test date</t>
        </is>
      </c>
      <c r="H10" s="139" t="inlineStr">
        <is>
          <t>Tester</t>
        </is>
      </c>
      <c r="I10" s="139" t="inlineStr">
        <is>
          <t>Round 2</t>
        </is>
      </c>
      <c r="J10" s="139" t="inlineStr">
        <is>
          <t>Test date</t>
        </is>
      </c>
      <c r="K10" s="139" t="inlineStr">
        <is>
          <t>Tester</t>
        </is>
      </c>
      <c r="L10" s="139" t="inlineStr">
        <is>
          <t>Round 3</t>
        </is>
      </c>
      <c r="M10" s="139" t="inlineStr">
        <is>
          <t>Test date</t>
        </is>
      </c>
      <c r="N10" s="139" t="inlineStr">
        <is>
          <t>Tester</t>
        </is>
      </c>
      <c r="O10" s="139" t="inlineStr">
        <is>
          <t>Note</t>
        </is>
      </c>
      <c r="P10" s="123" t="n"/>
      <c r="Q10" s="140" t="n"/>
      <c r="R10" s="123" t="n"/>
      <c r="S10" s="123" t="n"/>
      <c r="T10" s="123" t="n"/>
      <c r="U10" s="123" t="n"/>
      <c r="V10" s="123" t="n"/>
      <c r="W10" s="123" t="n"/>
      <c r="X10" s="123" t="n"/>
      <c r="Y10" s="123" t="n"/>
      <c r="Z10" s="123" t="n"/>
    </row>
    <row r="11" ht="15.75" customHeight="1" s="162">
      <c r="A11" s="158" t="inlineStr">
        <is>
          <t>Scenario A</t>
        </is>
      </c>
      <c r="B11" s="158" t="inlineStr">
        <is>
          <t>Review Submitted Lab Results</t>
        </is>
      </c>
      <c r="C11" s="142" t="n"/>
      <c r="D11" s="142" t="n"/>
      <c r="E11" s="142" t="n"/>
      <c r="F11" s="142" t="n"/>
      <c r="G11" s="142" t="n"/>
      <c r="H11" s="142" t="n"/>
      <c r="I11" s="142" t="n"/>
      <c r="J11" s="142" t="n"/>
      <c r="K11" s="142" t="n"/>
      <c r="L11" s="142" t="n"/>
      <c r="M11" s="142" t="n"/>
      <c r="N11" s="142" t="n"/>
      <c r="O11" s="143" t="n"/>
      <c r="P11" s="123" t="n"/>
      <c r="Q11" s="144" t="n"/>
      <c r="R11" s="123" t="n"/>
      <c r="S11" s="123" t="n"/>
      <c r="T11" s="123" t="n"/>
      <c r="U11" s="123" t="n"/>
      <c r="V11" s="123" t="n"/>
      <c r="W11" s="123" t="n"/>
      <c r="X11" s="123" t="n"/>
      <c r="Y11" s="123" t="n"/>
      <c r="Z11" s="123" t="n"/>
    </row>
    <row r="12" outlineLevel="1" ht="150" customHeight="1" s="162">
      <c r="A12" s="159" t="inlineStr">
        <is>
          <t>TC_REV_001</t>
        </is>
      </c>
      <c r="B12" s="159" t="inlineStr">
        <is>
          <t>Doctor approves submitted LabResults</t>
        </is>
      </c>
      <c r="C12" s="159" t="inlineStr">
        <is>
          <t>1. Review the metrics and diagnostic scans
2. Click the "Duyệt kết quả" button</t>
        </is>
      </c>
      <c r="D12" s="160" t="inlineStr">
        <is>
          <t>1. The status of the LabOrder changes to 'COMPLETED'
2. The lab metrics (SPH, CYL, AXIS, IOP, VA, BCVA) are automatically integrated and lab images are inserted into the patient's active EMR form</t>
        </is>
      </c>
      <c r="E12" s="160" t="inlineStr">
        <is>
          <t>1. Doctor is on the details page of a 'SUBMITTED' LabOrder
2. The lab results data is fully filled and valid</t>
        </is>
      </c>
      <c r="F12" s="155" t="inlineStr">
        <is>
          <t>Pending</t>
        </is>
      </c>
      <c r="G12" s="155" t="n"/>
      <c r="H12" s="155" t="n"/>
      <c r="I12" s="155" t="inlineStr">
        <is>
          <t>Pending</t>
        </is>
      </c>
      <c r="J12" s="155" t="n"/>
      <c r="K12" s="155" t="n"/>
      <c r="L12" s="155" t="inlineStr">
        <is>
          <t>Pending</t>
        </is>
      </c>
      <c r="M12" s="155" t="n"/>
      <c r="N12" s="155" t="n"/>
      <c r="O12" s="155" t="n"/>
      <c r="P12" s="148" t="n"/>
      <c r="Q12" s="149" t="n"/>
      <c r="R12" s="148" t="n"/>
      <c r="S12" s="148" t="n"/>
      <c r="T12" s="148" t="n"/>
      <c r="U12" s="148" t="n"/>
      <c r="V12" s="148" t="n"/>
      <c r="W12" s="148" t="n"/>
      <c r="X12" s="148" t="n"/>
      <c r="Y12" s="148" t="n"/>
      <c r="Z12" s="148" t="n"/>
    </row>
    <row r="13" outlineLevel="1" ht="150" customHeight="1" s="162">
      <c r="A13" s="159" t="inlineStr">
        <is>
          <t>TC_REV_002</t>
        </is>
      </c>
      <c r="B13" s="159" t="inlineStr">
        <is>
          <t>Doctor rejects LabResults and requests retest</t>
        </is>
      </c>
      <c r="C13" s="159" t="inlineStr">
        <is>
          <t>1. Click the 'Hủy kết quả &amp; Yêu cầu đo lại' button
2. In the modal, input the rejection reason: 'Hình chụp đáy mắt mờ, không lấy nét được gai thị. Yêu cầu chụp lại.'</t>
        </is>
      </c>
      <c r="D13" s="160" t="inlineStr">
        <is>
          <t>1. The status of the LabOrder changes to 'REJECTED'
2. Rejection timestamp are saved in the DB
3. The system automatically creates a NEW LabOrder copying all fields (Patient, Doctor, Notes) from the rejected order, with status 'PENDING'</t>
        </is>
      </c>
      <c r="E13" s="160" t="inlineStr">
        <is>
          <t>1. Doctor is on the details page of a 'SUBMITTED' LabOrder
2. Doctor determines the test is low-quality or incorrect</t>
        </is>
      </c>
      <c r="F13" s="155" t="n"/>
      <c r="G13" s="155" t="n"/>
      <c r="H13" s="155" t="n"/>
      <c r="I13" s="155" t="n"/>
      <c r="J13" s="155" t="n"/>
      <c r="K13" s="155" t="n"/>
      <c r="L13" s="155" t="n"/>
      <c r="M13" s="155" t="n"/>
      <c r="N13" s="155" t="n"/>
      <c r="O13" s="155" t="n"/>
      <c r="P13" s="148" t="n"/>
      <c r="Q13" s="149" t="n"/>
      <c r="R13" s="148" t="n"/>
      <c r="S13" s="148" t="n"/>
      <c r="T13" s="148" t="n"/>
      <c r="U13" s="148" t="n"/>
      <c r="V13" s="148" t="n"/>
      <c r="W13" s="148" t="n"/>
      <c r="X13" s="148" t="n"/>
      <c r="Y13" s="148" t="n"/>
      <c r="Z13" s="148" t="n"/>
    </row>
    <row r="14" outlineLevel="1" ht="141" customHeight="1" s="162">
      <c r="A14" s="159" t="inlineStr">
        <is>
          <t>TC_REV_003</t>
        </is>
      </c>
      <c r="B14" s="159" t="inlineStr">
        <is>
          <t>Doctor attempts to reject LabResults without entering a reason</t>
        </is>
      </c>
      <c r="C14" s="159" t="inlineStr">
        <is>
          <t>1. Click the 'Hủy kết quả &amp; Yêu cầu đo lại' button
2. Leave the rejection reason text area empty</t>
        </is>
      </c>
      <c r="D14" s="160" t="inlineStr">
        <is>
          <t>1. The status of the LabOrder changes to 'REJECTED'
2. Rejection reason and timestamp are saved in the DB
3. The system automatically creates a NEW LabOrder copying all fields (Patient, Doctor, Notes) from the rejected order, with status 'PENDING'</t>
        </is>
      </c>
      <c r="E14" s="160" t="inlineStr">
        <is>
          <t>1. Doctor is on the details page of a 'SUBMITTED' LabOrder
2. Doctor determines the test is low-quality or incorrect</t>
        </is>
      </c>
      <c r="F14" s="155" t="inlineStr">
        <is>
          <t>Pending</t>
        </is>
      </c>
      <c r="G14" s="155" t="n"/>
      <c r="H14" s="155" t="n"/>
      <c r="I14" s="155" t="inlineStr">
        <is>
          <t>Pending</t>
        </is>
      </c>
      <c r="J14" s="155" t="n"/>
      <c r="K14" s="155" t="n"/>
      <c r="L14" s="155" t="inlineStr">
        <is>
          <t>Pending</t>
        </is>
      </c>
      <c r="M14" s="155" t="n"/>
      <c r="N14" s="155" t="n"/>
      <c r="O14" s="155" t="n"/>
      <c r="P14" s="148" t="n"/>
      <c r="Q14" s="149" t="n"/>
      <c r="R14" s="148" t="n"/>
      <c r="S14" s="148" t="n"/>
      <c r="T14" s="148" t="n"/>
      <c r="U14" s="148" t="n"/>
      <c r="V14" s="148" t="n"/>
      <c r="W14" s="148" t="n"/>
      <c r="X14" s="148" t="n"/>
      <c r="Y14" s="148" t="n"/>
      <c r="Z14" s="148" t="n"/>
    </row>
    <row r="15" ht="15.75" customHeight="1" s="162">
      <c r="A15" s="158" t="n"/>
      <c r="B15" s="161" t="n"/>
      <c r="C15" s="151" t="n"/>
      <c r="D15" s="151" t="n"/>
      <c r="E15" s="151" t="n"/>
      <c r="F15" s="151" t="n"/>
      <c r="G15" s="151" t="n"/>
      <c r="H15" s="151" t="n"/>
      <c r="I15" s="151" t="n"/>
      <c r="J15" s="151" t="n"/>
      <c r="K15" s="151" t="n"/>
      <c r="L15" s="151" t="n"/>
      <c r="M15" s="151" t="n"/>
      <c r="N15" s="151" t="n"/>
      <c r="O15" s="152" t="n"/>
      <c r="P15" s="123" t="n"/>
      <c r="Q15" s="144" t="n"/>
      <c r="R15" s="123" t="n"/>
      <c r="S15" s="123" t="n"/>
      <c r="T15" s="123" t="n"/>
      <c r="U15" s="123" t="n"/>
      <c r="V15" s="123" t="n"/>
      <c r="W15" s="123" t="n"/>
      <c r="X15" s="123" t="n"/>
      <c r="Y15" s="123" t="n"/>
      <c r="Z15" s="123" t="n"/>
    </row>
    <row r="16" outlineLevel="1" ht="79.5" customHeight="1" s="162">
      <c r="A16" s="159" t="n"/>
      <c r="B16" s="159" t="n"/>
      <c r="C16" s="159" t="n"/>
      <c r="D16" s="159" t="n"/>
      <c r="E16" s="159" t="n"/>
      <c r="F16" s="155" t="inlineStr">
        <is>
          <t>Pending</t>
        </is>
      </c>
      <c r="G16" s="155" t="n"/>
      <c r="H16" s="155" t="n"/>
      <c r="I16" s="155" t="inlineStr">
        <is>
          <t>Pending</t>
        </is>
      </c>
      <c r="J16" s="155" t="n"/>
      <c r="K16" s="155" t="n"/>
      <c r="L16" s="155" t="inlineStr">
        <is>
          <t>Pending</t>
        </is>
      </c>
      <c r="M16" s="155" t="n"/>
      <c r="N16" s="155" t="n"/>
      <c r="O16" s="155" t="n"/>
      <c r="P16" s="46" t="n"/>
      <c r="Q16" s="149" t="n"/>
      <c r="R16" s="46" t="n"/>
      <c r="S16" s="46" t="n"/>
      <c r="T16" s="46" t="n"/>
      <c r="U16" s="46" t="n"/>
      <c r="V16" s="46" t="n"/>
      <c r="W16" s="46" t="n"/>
      <c r="X16" s="46" t="n"/>
      <c r="Y16" s="46" t="n"/>
      <c r="Z16" s="46" t="n"/>
    </row>
    <row r="17" outlineLevel="1" ht="79.5" customHeight="1" s="162">
      <c r="A17" s="159" t="n"/>
      <c r="B17" s="159" t="n"/>
      <c r="C17" s="159" t="n"/>
      <c r="D17" s="159" t="n"/>
      <c r="E17" s="159" t="n"/>
      <c r="F17" s="155" t="n"/>
      <c r="G17" s="155" t="n"/>
      <c r="H17" s="155" t="n"/>
      <c r="I17" s="155" t="n"/>
      <c r="J17" s="155" t="n"/>
      <c r="K17" s="155" t="n"/>
      <c r="L17" s="155" t="n"/>
      <c r="M17" s="155" t="n"/>
      <c r="N17" s="155" t="n"/>
      <c r="O17" s="155" t="n"/>
      <c r="P17" s="46" t="n"/>
      <c r="Q17" s="149" t="n"/>
      <c r="R17" s="46" t="n"/>
      <c r="S17" s="46" t="n"/>
      <c r="T17" s="46" t="n"/>
      <c r="U17" s="46" t="n"/>
      <c r="V17" s="46" t="n"/>
      <c r="W17" s="46" t="n"/>
      <c r="X17" s="46" t="n"/>
      <c r="Y17" s="46" t="n"/>
      <c r="Z17" s="46" t="n"/>
    </row>
    <row r="18" outlineLevel="1" ht="79.5" customHeight="1" s="162">
      <c r="A18" s="159" t="n"/>
      <c r="B18" s="159" t="n"/>
      <c r="C18" s="159" t="n"/>
      <c r="D18" s="159" t="n"/>
      <c r="E18" s="159" t="n"/>
      <c r="F18" s="155" t="n"/>
      <c r="G18" s="155" t="n"/>
      <c r="H18" s="155" t="n"/>
      <c r="I18" s="155" t="n"/>
      <c r="J18" s="155" t="n"/>
      <c r="K18" s="155" t="n"/>
      <c r="L18" s="155" t="n"/>
      <c r="M18" s="155" t="n"/>
      <c r="N18" s="155" t="n"/>
      <c r="O18" s="155" t="n"/>
      <c r="P18" s="46" t="n"/>
      <c r="Q18" s="149" t="n"/>
      <c r="R18" s="46" t="n"/>
      <c r="S18" s="46" t="n"/>
      <c r="T18" s="46" t="n"/>
      <c r="U18" s="46" t="n"/>
      <c r="V18" s="46" t="n"/>
      <c r="W18" s="46" t="n"/>
      <c r="X18" s="46" t="n"/>
      <c r="Y18" s="46" t="n"/>
      <c r="Z18" s="46" t="n"/>
    </row>
    <row r="19" outlineLevel="1" ht="79.5" customHeight="1" s="162">
      <c r="A19" s="159" t="n"/>
      <c r="B19" s="159" t="n"/>
      <c r="C19" s="159" t="n"/>
      <c r="D19" s="159" t="n"/>
      <c r="E19" s="159" t="n"/>
      <c r="F19" s="155" t="n"/>
      <c r="G19" s="155" t="n"/>
      <c r="H19" s="155" t="n"/>
      <c r="I19" s="155" t="n"/>
      <c r="J19" s="155" t="n"/>
      <c r="K19" s="155" t="n"/>
      <c r="L19" s="155" t="n"/>
      <c r="M19" s="155" t="n"/>
      <c r="N19" s="155" t="n"/>
      <c r="O19" s="155" t="n"/>
      <c r="P19" s="46" t="n"/>
      <c r="Q19" s="149" t="n"/>
      <c r="R19" s="46" t="n"/>
      <c r="S19" s="46" t="n"/>
      <c r="T19" s="46" t="n"/>
      <c r="U19" s="46" t="n"/>
      <c r="V19" s="46" t="n"/>
      <c r="W19" s="46" t="n"/>
      <c r="X19" s="46" t="n"/>
      <c r="Y19" s="46" t="n"/>
      <c r="Z19" s="46" t="n"/>
    </row>
    <row r="20" outlineLevel="1" ht="78.75" customHeight="1" s="162">
      <c r="A20" s="159" t="n"/>
      <c r="B20" s="159" t="n"/>
      <c r="C20" s="159" t="n"/>
      <c r="D20" s="159" t="n"/>
      <c r="E20" s="159" t="n"/>
      <c r="F20" s="155" t="inlineStr">
        <is>
          <t>Pending</t>
        </is>
      </c>
      <c r="G20" s="153" t="n"/>
      <c r="H20" s="153" t="n"/>
      <c r="I20" s="155" t="inlineStr">
        <is>
          <t>Pending</t>
        </is>
      </c>
      <c r="J20" s="153" t="n"/>
      <c r="K20" s="153" t="n"/>
      <c r="L20" s="155" t="inlineStr">
        <is>
          <t>Pending</t>
        </is>
      </c>
      <c r="M20" s="153" t="n"/>
      <c r="N20" s="153" t="n"/>
      <c r="O20" s="153" t="n"/>
      <c r="P20" s="46" t="n"/>
      <c r="Q20" s="115" t="n"/>
      <c r="R20" s="46" t="n"/>
      <c r="S20" s="46" t="n"/>
      <c r="T20" s="46" t="n"/>
      <c r="U20" s="46" t="n"/>
      <c r="V20" s="46" t="n"/>
      <c r="W20" s="46" t="n"/>
      <c r="X20" s="46" t="n"/>
      <c r="Y20" s="46" t="n"/>
      <c r="Z20" s="46" t="n"/>
    </row>
    <row r="21" ht="15.75" customHeight="1" s="162">
      <c r="A21" s="158" t="n"/>
      <c r="B21" s="161" t="n"/>
      <c r="C21" s="151" t="n"/>
      <c r="D21" s="151" t="n"/>
      <c r="E21" s="151" t="n"/>
      <c r="F21" s="151" t="n"/>
      <c r="G21" s="151" t="n"/>
      <c r="H21" s="151" t="n"/>
      <c r="I21" s="151" t="n"/>
      <c r="J21" s="151" t="n"/>
      <c r="K21" s="151" t="n"/>
      <c r="L21" s="151" t="n"/>
      <c r="M21" s="151" t="n"/>
      <c r="N21" s="151" t="n"/>
      <c r="O21" s="152" t="n"/>
      <c r="P21" s="123" t="n"/>
      <c r="Q21" s="144" t="n"/>
      <c r="R21" s="123" t="n"/>
      <c r="S21" s="123" t="n"/>
      <c r="T21" s="123" t="n"/>
      <c r="U21" s="123" t="n"/>
      <c r="V21" s="123" t="n"/>
      <c r="W21" s="123" t="n"/>
      <c r="X21" s="123" t="n"/>
      <c r="Y21" s="123" t="n"/>
      <c r="Z21" s="123" t="n"/>
    </row>
    <row r="22" ht="134.25" customHeight="1" s="162">
      <c r="A22" s="159" t="n"/>
      <c r="B22" s="159" t="n"/>
      <c r="C22" s="159" t="n"/>
      <c r="D22" s="159" t="n"/>
      <c r="E22" s="159" t="n"/>
      <c r="F22" s="154" t="inlineStr">
        <is>
          <t>Pending</t>
        </is>
      </c>
      <c r="G22" s="154" t="n"/>
      <c r="H22" s="155" t="n"/>
      <c r="I22" s="154" t="inlineStr">
        <is>
          <t>Pending</t>
        </is>
      </c>
      <c r="J22" s="154" t="n"/>
      <c r="K22" s="155" t="n"/>
      <c r="L22" s="154" t="inlineStr">
        <is>
          <t>Pending</t>
        </is>
      </c>
      <c r="M22" s="153" t="n"/>
      <c r="N22" s="46" t="n"/>
      <c r="O22" s="155" t="n"/>
      <c r="P22" s="115" t="n"/>
      <c r="Q22" s="46" t="n"/>
      <c r="R22" s="46" t="n"/>
      <c r="S22" s="46" t="n"/>
      <c r="T22" s="46" t="n"/>
      <c r="U22" s="46" t="n"/>
      <c r="V22" s="46" t="n"/>
      <c r="W22" s="46" t="n"/>
      <c r="X22" s="46" t="n"/>
      <c r="Y22" s="46" t="n"/>
    </row>
    <row r="23" ht="99" customHeight="1" s="162">
      <c r="A23" s="159" t="n"/>
      <c r="B23" s="159" t="n"/>
      <c r="C23" s="159" t="n"/>
      <c r="D23" s="159" t="n"/>
      <c r="E23" s="159" t="n"/>
      <c r="F23" s="154" t="inlineStr">
        <is>
          <t>Pending</t>
        </is>
      </c>
      <c r="G23" s="154" t="n"/>
      <c r="H23" s="155" t="n"/>
      <c r="I23" s="154" t="inlineStr">
        <is>
          <t>Pending</t>
        </is>
      </c>
      <c r="J23" s="154" t="n"/>
      <c r="K23" s="155" t="n"/>
      <c r="L23" s="154" t="inlineStr">
        <is>
          <t>Pending</t>
        </is>
      </c>
      <c r="M23" s="153" t="n"/>
      <c r="N23" s="153" t="n"/>
      <c r="O23" s="155" t="n"/>
      <c r="P23" s="115" t="n"/>
      <c r="Q23" s="46" t="n"/>
      <c r="R23" s="46" t="n"/>
      <c r="S23" s="46" t="n"/>
      <c r="T23" s="46" t="n"/>
      <c r="U23" s="46" t="n"/>
      <c r="V23" s="46" t="n"/>
      <c r="W23" s="46" t="n"/>
      <c r="X23" s="46" t="n"/>
      <c r="Y23" s="46" t="n"/>
    </row>
    <row r="24" ht="149.25" customHeight="1" s="162">
      <c r="A24" s="159" t="n"/>
      <c r="B24" s="159" t="n"/>
      <c r="C24" s="159" t="n"/>
      <c r="D24" s="159" t="n"/>
      <c r="E24" s="159" t="n"/>
      <c r="F24" s="154" t="inlineStr">
        <is>
          <t>Pending</t>
        </is>
      </c>
      <c r="G24" s="154" t="n"/>
      <c r="H24" s="155" t="n"/>
      <c r="I24" s="154" t="inlineStr">
        <is>
          <t>Pending</t>
        </is>
      </c>
      <c r="J24" s="154" t="n"/>
      <c r="K24" s="155" t="n"/>
      <c r="L24" s="154" t="inlineStr">
        <is>
          <t>Pending</t>
        </is>
      </c>
      <c r="M24" s="153" t="n"/>
      <c r="N24" s="153" t="n"/>
      <c r="O24" s="155" t="n"/>
      <c r="P24" s="115" t="n"/>
      <c r="Q24" s="46" t="n"/>
      <c r="R24" s="46" t="n"/>
      <c r="S24" s="46" t="n"/>
      <c r="T24" s="46" t="n"/>
      <c r="U24" s="46" t="n"/>
      <c r="V24" s="46" t="n"/>
      <c r="W24" s="46" t="n"/>
      <c r="X24" s="46" t="n"/>
      <c r="Y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115"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115"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115"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115"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115"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115"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115"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115"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115"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115"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115"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115"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115"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115"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115"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115"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115"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115"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115"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115"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115"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115"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115"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115"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115"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115"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115"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115"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115"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115"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115"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115"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115"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115"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115"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115"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115"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115"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115"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115"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115"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115"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115"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115"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115"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115"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115"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115"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115"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115"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115"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115"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115"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115"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115"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115"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115"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115"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115"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115"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115"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115"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115"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115"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115"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115"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115"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115"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115"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115"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115"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115"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115"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115"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115"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115"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115"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115"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115"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115"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115"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115"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115"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115"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115"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115"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115"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115"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115"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115"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115"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115"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115"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115"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115"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115"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115"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115"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115"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115"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115"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115"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115"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115"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115"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115"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115"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115"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115"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115"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115"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115"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115"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115"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115"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115"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115"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115"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115"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115"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115"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115"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115"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115"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115"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115"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115"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115"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115"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115"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115"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115"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115"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115"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115"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115"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115"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115"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115"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115"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115"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115"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115"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115"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115"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115"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115"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115"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115"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115"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115"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115"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115"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115"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115"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115"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115"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115"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115"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115"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115"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115"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115"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115"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115"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115"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115"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115"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115"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115"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115"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115"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115"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115"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115"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115"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115"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115"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115"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115"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115"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115"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115"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115"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115"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115"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115"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115"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115"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115"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115"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115"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115"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115"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115"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115" t="n"/>
      <c r="R220" s="46" t="n"/>
      <c r="S220" s="46" t="n"/>
      <c r="T220" s="46" t="n"/>
      <c r="U220" s="46" t="n"/>
      <c r="V220" s="46" t="n"/>
      <c r="W220" s="46" t="n"/>
      <c r="X220" s="46" t="n"/>
      <c r="Y220" s="46" t="n"/>
      <c r="Z220" s="46" t="n"/>
    </row>
    <row r="221" ht="12.75" customHeight="1" s="162">
      <c r="A221" s="46" t="n"/>
      <c r="B221" s="46" t="n"/>
      <c r="C221" s="46" t="n"/>
      <c r="D221" s="46" t="n"/>
      <c r="E221" s="46" t="n"/>
      <c r="F221" s="46" t="n"/>
      <c r="G221" s="46" t="n"/>
      <c r="H221" s="46" t="n"/>
      <c r="I221" s="46" t="n"/>
      <c r="J221" s="46" t="n"/>
      <c r="K221" s="46" t="n"/>
      <c r="L221" s="46" t="n"/>
      <c r="M221" s="46" t="n"/>
      <c r="N221" s="46" t="n"/>
      <c r="O221" s="46" t="n"/>
      <c r="P221" s="46" t="n"/>
      <c r="Q221" s="115" t="n"/>
      <c r="R221" s="46" t="n"/>
      <c r="S221" s="46" t="n"/>
      <c r="T221" s="46" t="n"/>
      <c r="U221" s="46" t="n"/>
      <c r="V221" s="46" t="n"/>
      <c r="W221" s="46" t="n"/>
      <c r="X221" s="46" t="n"/>
      <c r="Y221" s="46" t="n"/>
      <c r="Z221" s="46" t="n"/>
    </row>
    <row r="222" ht="12.75" customHeight="1" s="162">
      <c r="A222" s="46" t="n"/>
      <c r="B222" s="46" t="n"/>
      <c r="C222" s="46" t="n"/>
      <c r="D222" s="46" t="n"/>
      <c r="E222" s="46" t="n"/>
      <c r="F222" s="46" t="n"/>
      <c r="G222" s="46" t="n"/>
      <c r="H222" s="46" t="n"/>
      <c r="I222" s="46" t="n"/>
      <c r="J222" s="46" t="n"/>
      <c r="K222" s="46" t="n"/>
      <c r="L222" s="46" t="n"/>
      <c r="M222" s="46" t="n"/>
      <c r="N222" s="46" t="n"/>
      <c r="O222" s="46" t="n"/>
      <c r="P222" s="46" t="n"/>
      <c r="Q222" s="115" t="n"/>
      <c r="R222" s="46" t="n"/>
      <c r="S222" s="46" t="n"/>
      <c r="T222" s="46" t="n"/>
      <c r="U222" s="46" t="n"/>
      <c r="V222" s="46" t="n"/>
      <c r="W222" s="46" t="n"/>
      <c r="X222" s="46" t="n"/>
      <c r="Y222" s="46" t="n"/>
      <c r="Z222" s="46" t="n"/>
    </row>
    <row r="223" ht="12.75" customHeight="1" s="162">
      <c r="A223" s="46" t="n"/>
      <c r="B223" s="46" t="n"/>
      <c r="C223" s="46" t="n"/>
      <c r="D223" s="46" t="n"/>
      <c r="E223" s="46" t="n"/>
      <c r="F223" s="46" t="n"/>
      <c r="G223" s="46" t="n"/>
      <c r="H223" s="46" t="n"/>
      <c r="I223" s="46" t="n"/>
      <c r="J223" s="46" t="n"/>
      <c r="K223" s="46" t="n"/>
      <c r="L223" s="46" t="n"/>
      <c r="M223" s="46" t="n"/>
      <c r="N223" s="46" t="n"/>
      <c r="O223" s="46" t="n"/>
      <c r="P223" s="46" t="n"/>
      <c r="Q223" s="115" t="n"/>
      <c r="R223" s="46" t="n"/>
      <c r="S223" s="46" t="n"/>
      <c r="T223" s="46" t="n"/>
      <c r="U223" s="46" t="n"/>
      <c r="V223" s="46" t="n"/>
      <c r="W223" s="46" t="n"/>
      <c r="X223" s="46" t="n"/>
      <c r="Y223" s="46" t="n"/>
      <c r="Z223" s="46" t="n"/>
    </row>
    <row r="224" ht="12.75" customHeight="1" s="162">
      <c r="A224" s="46" t="n"/>
      <c r="B224" s="46" t="n"/>
      <c r="C224" s="46" t="n"/>
      <c r="D224" s="46" t="n"/>
      <c r="E224" s="46" t="n"/>
      <c r="F224" s="46" t="n"/>
      <c r="G224" s="46" t="n"/>
      <c r="H224" s="46" t="n"/>
      <c r="I224" s="46" t="n"/>
      <c r="J224" s="46" t="n"/>
      <c r="K224" s="46" t="n"/>
      <c r="L224" s="46" t="n"/>
      <c r="M224" s="46" t="n"/>
      <c r="N224" s="46" t="n"/>
      <c r="O224" s="46" t="n"/>
      <c r="P224" s="46" t="n"/>
      <c r="Q224" s="115" t="n"/>
      <c r="R224" s="46" t="n"/>
      <c r="S224" s="46" t="n"/>
      <c r="T224" s="46" t="n"/>
      <c r="U224" s="46" t="n"/>
      <c r="V224" s="46" t="n"/>
      <c r="W224" s="46" t="n"/>
      <c r="X224" s="46" t="n"/>
      <c r="Y224" s="46" t="n"/>
      <c r="Z224" s="46" t="n"/>
    </row>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3">
    <mergeCell ref="B3:E3"/>
    <mergeCell ref="B2:E2"/>
    <mergeCell ref="B4:E4"/>
  </mergeCells>
  <dataValidations count="1">
    <dataValidation sqref="F12:F24 G2:G3 G9 G25:G149 I12:I24 J2:J3 J9 J25:J149 L12:L24 M2:M3 M9 M25:M149"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Z221"/>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62" min="1" max="1"/>
    <col width="34.5" customWidth="1" style="162" min="2" max="2"/>
    <col width="34.13" customWidth="1" style="162" min="3" max="3"/>
    <col width="34.63" customWidth="1" style="162" min="4" max="4"/>
    <col width="28.38" customWidth="1" style="162" min="5" max="5"/>
    <col width="9.380000000000001" customWidth="1" style="162" min="6" max="6"/>
    <col outlineLevel="1" width="10.63" customWidth="1" style="162" min="7" max="7"/>
    <col outlineLevel="1" width="7" customWidth="1" style="162" min="8" max="8"/>
    <col width="9.380000000000001" customWidth="1" style="162" min="9" max="9"/>
    <col outlineLevel="1" width="10.63" customWidth="1" style="162" min="10" max="10"/>
    <col outlineLevel="1" width="7" customWidth="1" style="162" min="11" max="11"/>
    <col width="9.380000000000001" customWidth="1" style="162" min="12" max="12"/>
    <col outlineLevel="1" width="10.63" customWidth="1" style="162" min="13" max="13"/>
    <col outlineLevel="1" width="7" customWidth="1" style="162" min="14" max="14"/>
    <col width="28.63" customWidth="1" style="162" min="15" max="15"/>
    <col width="10.13" customWidth="1" style="162" min="16" max="16"/>
    <col width="8.130000000000001" customWidth="1" style="162" min="17" max="17"/>
    <col hidden="1" width="7.63" customWidth="1" style="162" min="18" max="18"/>
    <col width="9" customWidth="1" style="162" min="19" max="26"/>
  </cols>
  <sheetData>
    <row r="1" ht="12.75" customHeight="1" s="162">
      <c r="A1" s="46" t="n"/>
      <c r="B1" s="46" t="n"/>
      <c r="C1" s="46" t="n"/>
      <c r="D1" s="46" t="n"/>
      <c r="E1" s="46" t="n"/>
      <c r="F1" s="46" t="n"/>
      <c r="G1" s="46" t="n"/>
      <c r="H1" s="46" t="n"/>
      <c r="I1" s="46" t="n"/>
      <c r="J1" s="46" t="n"/>
      <c r="K1" s="46" t="n"/>
      <c r="L1" s="46" t="n"/>
      <c r="M1" s="46" t="n"/>
      <c r="N1" s="46" t="n"/>
      <c r="O1" s="46" t="n"/>
      <c r="P1" s="46" t="n"/>
      <c r="Q1" s="115" t="n"/>
      <c r="R1" s="46" t="n"/>
      <c r="S1" s="46" t="n"/>
      <c r="T1" s="46" t="n"/>
      <c r="U1" s="46" t="n"/>
      <c r="V1" s="46" t="n"/>
      <c r="W1" s="46" t="n"/>
      <c r="X1" s="46" t="n"/>
      <c r="Y1" s="46" t="n"/>
      <c r="Z1" s="46" t="n"/>
    </row>
    <row r="2" ht="15" customHeight="1" s="162">
      <c r="A2" s="116" t="inlineStr">
        <is>
          <t>Workflow</t>
        </is>
      </c>
      <c r="B2" s="174" t="inlineStr">
        <is>
          <t>Issue Lab Order</t>
        </is>
      </c>
      <c r="C2" s="175" t="n"/>
      <c r="D2" s="175" t="n"/>
      <c r="E2" s="176" t="n"/>
      <c r="F2" s="120" t="n"/>
      <c r="G2" s="121" t="n"/>
      <c r="H2" s="11" t="n"/>
      <c r="I2" s="120" t="n"/>
      <c r="J2" s="121" t="n"/>
      <c r="K2" s="11" t="n"/>
      <c r="L2" s="120" t="n"/>
      <c r="M2" s="121" t="n"/>
      <c r="N2" s="11" t="n"/>
      <c r="O2" s="11" t="n"/>
      <c r="P2" s="11" t="n"/>
      <c r="Q2" s="122" t="n"/>
      <c r="R2" s="123" t="inlineStr">
        <is>
          <t>Passed</t>
        </is>
      </c>
      <c r="S2" s="123" t="n"/>
      <c r="T2" s="123" t="n"/>
      <c r="U2" s="123" t="n"/>
      <c r="V2" s="123" t="n"/>
      <c r="W2" s="123" t="n"/>
      <c r="X2" s="123" t="n"/>
      <c r="Y2" s="123" t="n"/>
      <c r="Z2" s="123" t="n"/>
    </row>
    <row r="3" ht="12.75" customHeight="1" s="162">
      <c r="A3" s="124" t="inlineStr">
        <is>
          <t>Test requirement</t>
        </is>
      </c>
      <c r="B3" s="177" t="inlineStr">
        <is>
          <t>Verify Doctor can request clinical laboratory or imaging tests from within a patient's active medical record</t>
        </is>
      </c>
      <c r="C3" s="164" t="n"/>
      <c r="D3" s="164" t="n"/>
      <c r="E3" s="178" t="n"/>
      <c r="F3" s="120" t="n"/>
      <c r="G3" s="121" t="n"/>
      <c r="H3" s="11" t="n"/>
      <c r="I3" s="120" t="n"/>
      <c r="J3" s="121" t="n"/>
      <c r="K3" s="11" t="n"/>
      <c r="L3" s="120" t="n"/>
      <c r="M3" s="121" t="n"/>
      <c r="N3" s="11" t="n"/>
      <c r="O3" s="11" t="n"/>
      <c r="P3" s="11" t="n"/>
      <c r="Q3" s="122" t="n"/>
      <c r="R3" s="123" t="inlineStr">
        <is>
          <t>Failed</t>
        </is>
      </c>
      <c r="S3" s="123" t="n"/>
      <c r="T3" s="123" t="n"/>
      <c r="U3" s="123" t="n"/>
      <c r="V3" s="123" t="n"/>
      <c r="W3" s="123" t="n"/>
      <c r="X3" s="123" t="n"/>
      <c r="Y3" s="123" t="n"/>
      <c r="Z3" s="123" t="n"/>
    </row>
    <row r="4" ht="18" customHeight="1" s="162">
      <c r="A4" s="124" t="inlineStr">
        <is>
          <t>Number of TCs</t>
        </is>
      </c>
      <c r="B4" s="177">
        <f>COUNTIF(A12:A1001,"TC_*")</f>
        <v/>
      </c>
      <c r="C4" s="164" t="n"/>
      <c r="D4" s="164" t="n"/>
      <c r="E4" s="178" t="n"/>
      <c r="F4" s="120" t="n"/>
      <c r="G4" s="121" t="n"/>
      <c r="H4" s="11" t="n"/>
      <c r="I4" s="120" t="n"/>
      <c r="J4" s="121" t="n"/>
      <c r="K4" s="11" t="n"/>
      <c r="L4" s="120" t="n"/>
      <c r="M4" s="121" t="n"/>
      <c r="N4" s="11" t="n"/>
      <c r="O4" s="11" t="n"/>
      <c r="P4" s="11" t="n"/>
      <c r="Q4" s="122" t="n"/>
      <c r="R4" s="123" t="inlineStr">
        <is>
          <t>Pending</t>
        </is>
      </c>
      <c r="S4" s="123" t="n"/>
      <c r="T4" s="123" t="n"/>
      <c r="U4" s="123" t="n"/>
      <c r="V4" s="123" t="n"/>
      <c r="W4" s="123" t="n"/>
      <c r="X4" s="123" t="n"/>
      <c r="Y4" s="123" t="n"/>
      <c r="Z4" s="123" t="n"/>
    </row>
    <row r="5" ht="19.5" customHeight="1" s="162">
      <c r="A5" s="127" t="inlineStr">
        <is>
          <t>Testing Round</t>
        </is>
      </c>
      <c r="B5" s="128" t="inlineStr">
        <is>
          <t>Passed</t>
        </is>
      </c>
      <c r="C5" s="128" t="inlineStr">
        <is>
          <t>Failed</t>
        </is>
      </c>
      <c r="D5" s="128" t="inlineStr">
        <is>
          <t>Pending</t>
        </is>
      </c>
      <c r="E5" s="129" t="inlineStr">
        <is>
          <t>N/A</t>
        </is>
      </c>
      <c r="F5" s="130" t="n"/>
      <c r="G5" s="130" t="n"/>
      <c r="H5" s="131" t="n"/>
      <c r="I5" s="130" t="n"/>
      <c r="J5" s="130" t="n"/>
      <c r="K5" s="131" t="n"/>
      <c r="L5" s="130" t="n"/>
      <c r="M5" s="130" t="n"/>
      <c r="N5" s="131" t="n"/>
      <c r="O5" s="131" t="n"/>
      <c r="P5" s="131" t="n"/>
      <c r="Q5" s="132" t="n"/>
      <c r="R5" s="123" t="inlineStr">
        <is>
          <t>N/A</t>
        </is>
      </c>
      <c r="S5" s="123" t="n"/>
      <c r="T5" s="123" t="n"/>
      <c r="U5" s="123" t="n"/>
      <c r="V5" s="123" t="n"/>
      <c r="W5" s="123" t="n"/>
      <c r="X5" s="123" t="n"/>
      <c r="Y5" s="123" t="n"/>
      <c r="Z5" s="123" t="n"/>
    </row>
    <row r="6" ht="15" customHeight="1" s="162">
      <c r="A6" s="127" t="inlineStr">
        <is>
          <t>Round 1</t>
        </is>
      </c>
      <c r="B6" s="133">
        <f>COUNTIF($F10:$F997,B5)</f>
        <v/>
      </c>
      <c r="C6" s="133">
        <f>COUNTIF($F10:$F997,C5)</f>
        <v/>
      </c>
      <c r="D6" s="133">
        <f>COUNTIF($F10:$F997,D5)</f>
        <v/>
      </c>
      <c r="E6" s="134">
        <f>COUNTIF($F10:$F997,E5)</f>
        <v/>
      </c>
      <c r="F6" s="135" t="n"/>
      <c r="G6" s="135" t="n"/>
      <c r="H6" s="131" t="n"/>
      <c r="I6" s="135" t="n"/>
      <c r="J6" s="135" t="n"/>
      <c r="K6" s="131" t="n"/>
      <c r="L6" s="135" t="n"/>
      <c r="M6" s="135" t="n"/>
      <c r="N6" s="131" t="n"/>
      <c r="O6" s="131" t="n"/>
      <c r="P6" s="131" t="n"/>
      <c r="Q6" s="132" t="n"/>
      <c r="R6" s="123" t="n"/>
      <c r="S6" s="123" t="n"/>
      <c r="T6" s="123" t="n"/>
      <c r="U6" s="123" t="n"/>
      <c r="V6" s="123" t="n"/>
      <c r="W6" s="123" t="n"/>
      <c r="X6" s="123" t="n"/>
      <c r="Y6" s="123" t="n"/>
      <c r="Z6" s="123" t="n"/>
    </row>
    <row r="7" ht="15" customHeight="1" s="162">
      <c r="A7" s="127" t="inlineStr">
        <is>
          <t>Round 2</t>
        </is>
      </c>
      <c r="B7" s="133">
        <f>COUNTIF($F10:$F997,B5)</f>
        <v/>
      </c>
      <c r="C7" s="133">
        <f>COUNTIF($F10:$F997,C5)</f>
        <v/>
      </c>
      <c r="D7" s="133">
        <f>COUNTIF($F10:$F997,D5)</f>
        <v/>
      </c>
      <c r="E7" s="134">
        <f>COUNTIF($F10:$F997,E5)</f>
        <v/>
      </c>
      <c r="F7" s="135" t="n"/>
      <c r="G7" s="135" t="n"/>
      <c r="H7" s="131" t="n"/>
      <c r="I7" s="135" t="n"/>
      <c r="J7" s="135" t="n"/>
      <c r="K7" s="131" t="n"/>
      <c r="L7" s="135" t="n"/>
      <c r="M7" s="135" t="n"/>
      <c r="N7" s="131" t="n"/>
      <c r="O7" s="131" t="n"/>
      <c r="P7" s="131" t="n"/>
      <c r="Q7" s="132" t="n"/>
      <c r="R7" s="123" t="n"/>
      <c r="S7" s="123" t="n"/>
      <c r="T7" s="123" t="n"/>
      <c r="U7" s="123" t="n"/>
      <c r="V7" s="123" t="n"/>
      <c r="W7" s="123" t="n"/>
      <c r="X7" s="123" t="n"/>
      <c r="Y7" s="123" t="n"/>
      <c r="Z7" s="123" t="n"/>
    </row>
    <row r="8" ht="15" customHeight="1" s="162">
      <c r="A8" s="136" t="inlineStr">
        <is>
          <t>Round 3</t>
        </is>
      </c>
      <c r="B8" s="137">
        <f>COUNTIF($F10:$F997,B5)</f>
        <v/>
      </c>
      <c r="C8" s="137">
        <f>COUNTIF($F10:$F997,C5)</f>
        <v/>
      </c>
      <c r="D8" s="137">
        <f>COUNTIF($F10:$F997,D5)</f>
        <v/>
      </c>
      <c r="E8" s="138">
        <f>COUNTIF($F10:$F997,E5)</f>
        <v/>
      </c>
      <c r="F8" s="135" t="n"/>
      <c r="G8" s="135" t="n"/>
      <c r="H8" s="131" t="n"/>
      <c r="I8" s="135" t="n"/>
      <c r="J8" s="135" t="n"/>
      <c r="K8" s="131" t="n"/>
      <c r="L8" s="135" t="n"/>
      <c r="M8" s="135" t="n"/>
      <c r="N8" s="131" t="n"/>
      <c r="O8" s="131" t="n"/>
      <c r="P8" s="131" t="n"/>
      <c r="Q8" s="132" t="n"/>
      <c r="R8" s="123" t="n"/>
      <c r="S8" s="123" t="n"/>
      <c r="T8" s="123" t="n"/>
      <c r="U8" s="123" t="n"/>
      <c r="V8" s="123" t="n"/>
      <c r="W8" s="123" t="n"/>
      <c r="X8" s="123" t="n"/>
      <c r="Y8" s="123" t="n"/>
      <c r="Z8" s="123" t="n"/>
    </row>
    <row r="9" ht="15" customHeight="1" s="162">
      <c r="A9" s="131" t="n"/>
      <c r="B9" s="131" t="n"/>
      <c r="C9" s="131" t="n"/>
      <c r="D9" s="131" t="n"/>
      <c r="E9" s="131" t="n"/>
      <c r="F9" s="114" t="n"/>
      <c r="G9" s="131" t="n"/>
      <c r="H9" s="131" t="n"/>
      <c r="I9" s="114" t="n"/>
      <c r="J9" s="131" t="n"/>
      <c r="K9" s="131" t="n"/>
      <c r="L9" s="114" t="n"/>
      <c r="M9" s="131" t="n"/>
      <c r="N9" s="131" t="n"/>
      <c r="O9" s="131" t="n"/>
      <c r="P9" s="131" t="n"/>
      <c r="Q9" s="132" t="n"/>
      <c r="R9" s="123" t="n"/>
      <c r="S9" s="123" t="n"/>
      <c r="T9" s="123" t="n"/>
      <c r="U9" s="123" t="n"/>
      <c r="V9" s="123" t="n"/>
      <c r="W9" s="123" t="n"/>
      <c r="X9" s="123" t="n"/>
      <c r="Y9" s="123" t="n"/>
      <c r="Z9" s="123" t="n"/>
    </row>
    <row r="10" ht="25.5" customHeight="1" s="162">
      <c r="A10" s="139" t="inlineStr">
        <is>
          <t>Test Case ID</t>
        </is>
      </c>
      <c r="B10" s="139" t="inlineStr">
        <is>
          <t>Test Case Description</t>
        </is>
      </c>
      <c r="C10" s="139" t="inlineStr">
        <is>
          <t>Test Case Procedure</t>
        </is>
      </c>
      <c r="D10" s="139" t="inlineStr">
        <is>
          <t>Expected Results</t>
        </is>
      </c>
      <c r="E10" s="139" t="inlineStr">
        <is>
          <t>Pre-conditions</t>
        </is>
      </c>
      <c r="F10" s="139" t="inlineStr">
        <is>
          <t>Round 1</t>
        </is>
      </c>
      <c r="G10" s="139" t="inlineStr">
        <is>
          <t>Test date</t>
        </is>
      </c>
      <c r="H10" s="139" t="inlineStr">
        <is>
          <t>Tester</t>
        </is>
      </c>
      <c r="I10" s="139" t="inlineStr">
        <is>
          <t>Round 2</t>
        </is>
      </c>
      <c r="J10" s="139" t="inlineStr">
        <is>
          <t>Test date</t>
        </is>
      </c>
      <c r="K10" s="139" t="inlineStr">
        <is>
          <t>Tester</t>
        </is>
      </c>
      <c r="L10" s="139" t="inlineStr">
        <is>
          <t>Round 3</t>
        </is>
      </c>
      <c r="M10" s="139" t="inlineStr">
        <is>
          <t>Test date</t>
        </is>
      </c>
      <c r="N10" s="139" t="inlineStr">
        <is>
          <t>Tester</t>
        </is>
      </c>
      <c r="O10" s="139" t="inlineStr">
        <is>
          <t>Note</t>
        </is>
      </c>
      <c r="P10" s="123" t="n"/>
      <c r="Q10" s="140" t="n"/>
      <c r="R10" s="123" t="n"/>
      <c r="S10" s="123" t="n"/>
      <c r="T10" s="123" t="n"/>
      <c r="U10" s="123" t="n"/>
      <c r="V10" s="123" t="n"/>
      <c r="W10" s="123" t="n"/>
      <c r="X10" s="123" t="n"/>
      <c r="Y10" s="123" t="n"/>
      <c r="Z10" s="123" t="n"/>
    </row>
    <row r="11" ht="15.75" customHeight="1" s="162">
      <c r="A11" s="158" t="inlineStr">
        <is>
          <t>Scenario A</t>
        </is>
      </c>
      <c r="B11" s="158" t="inlineStr">
        <is>
          <t>Issue Lab Order</t>
        </is>
      </c>
      <c r="C11" s="142" t="n"/>
      <c r="D11" s="142" t="n"/>
      <c r="E11" s="142" t="n"/>
      <c r="F11" s="142" t="n"/>
      <c r="G11" s="142" t="n"/>
      <c r="H11" s="142" t="n"/>
      <c r="I11" s="142" t="n"/>
      <c r="J11" s="142" t="n"/>
      <c r="K11" s="142" t="n"/>
      <c r="L11" s="142" t="n"/>
      <c r="M11" s="142" t="n"/>
      <c r="N11" s="142" t="n"/>
      <c r="O11" s="143" t="n"/>
      <c r="P11" s="123" t="n"/>
      <c r="Q11" s="144" t="n"/>
      <c r="R11" s="123" t="n"/>
      <c r="S11" s="123" t="n"/>
      <c r="T11" s="123" t="n"/>
      <c r="U11" s="123" t="n"/>
      <c r="V11" s="123" t="n"/>
      <c r="W11" s="123" t="n"/>
      <c r="X11" s="123" t="n"/>
      <c r="Y11" s="123" t="n"/>
      <c r="Z11" s="123" t="n"/>
    </row>
    <row r="12" outlineLevel="1" ht="150" customHeight="1" s="162">
      <c r="A12" s="159" t="inlineStr">
        <is>
          <t>TC_LO_001</t>
        </is>
      </c>
      <c r="B12" s="159" t="inlineStr">
        <is>
          <t>Doctor issues a valid LabOrder from active EMR</t>
        </is>
      </c>
      <c r="C12" s="159" t="inlineStr">
        <is>
          <t>1. Click the 'Yêu cầu chỉ định xét nghiệm' (Request Lab Order) button
2. Select lab technician "Phạm Kỹ Thuật Viên" from the lab technician list
3. Input doctor notes: 'Kiểm tra kỹ độ cong giác mạc mắt trái.'
4. Set priority to 'PRIMARY'
5. Click 'Gửi chỉ định' (Submit Order)</t>
        </is>
      </c>
      <c r="D12" s="160" t="inlineStr">
        <is>
          <t>1. A new LabOrder is generated with status 'PENDING'
2. The LabOrder is enqueued into the LabOrder Queue</t>
        </is>
      </c>
      <c r="E12" s="160" t="inlineStr">
        <is>
          <t>1. Doctor is logged in and editing a patient's medical record in Round-1 (EMR status: 'IN_PROGRESS' or 'DRAFT')</t>
        </is>
      </c>
      <c r="F12" s="155" t="inlineStr">
        <is>
          <t>Pending</t>
        </is>
      </c>
      <c r="G12" s="155" t="n"/>
      <c r="H12" s="155" t="n"/>
      <c r="I12" s="155" t="inlineStr">
        <is>
          <t>Pending</t>
        </is>
      </c>
      <c r="J12" s="155" t="n"/>
      <c r="K12" s="155" t="n"/>
      <c r="L12" s="155" t="inlineStr">
        <is>
          <t>Pending</t>
        </is>
      </c>
      <c r="M12" s="155" t="n"/>
      <c r="N12" s="155" t="n"/>
      <c r="O12" s="155" t="n"/>
      <c r="P12" s="148" t="n"/>
      <c r="Q12" s="149" t="n"/>
      <c r="R12" s="148" t="n"/>
      <c r="S12" s="148" t="n"/>
      <c r="T12" s="148" t="n"/>
      <c r="U12" s="148" t="n"/>
      <c r="V12" s="148" t="n"/>
      <c r="W12" s="148" t="n"/>
      <c r="X12" s="148" t="n"/>
      <c r="Y12" s="148" t="n"/>
      <c r="Z12" s="148" t="n"/>
    </row>
    <row r="13" outlineLevel="1" ht="150" customHeight="1" s="162">
      <c r="A13" s="159" t="inlineStr">
        <is>
          <t>TC_LO_002</t>
        </is>
      </c>
      <c r="B13" s="159" t="inlineStr">
        <is>
          <t>Doctor attempts to issue a LabOrder without selecting any lab technicians</t>
        </is>
      </c>
      <c r="C13" s="159" t="inlineStr">
        <is>
          <t>1. Input instructions in the notes field
2. Do not choose any lab technician
3. Click 'Gửi chỉ định' (Submit Order)</t>
        </is>
      </c>
      <c r="D13" s="160" t="inlineStr">
        <is>
          <t>1. The submission is blocked
2. An error is displayed on the screen: 'Vui lòng chọn kỹ thuật viên'</t>
        </is>
      </c>
      <c r="E13" s="160" t="inlineStr">
        <is>
          <t>1. Doctor is on the Lab Order request form</t>
        </is>
      </c>
      <c r="F13" s="155" t="n"/>
      <c r="G13" s="155" t="n"/>
      <c r="H13" s="155" t="n"/>
      <c r="I13" s="155" t="n"/>
      <c r="J13" s="155" t="n"/>
      <c r="K13" s="155" t="n"/>
      <c r="L13" s="155" t="n"/>
      <c r="M13" s="155" t="n"/>
      <c r="N13" s="155" t="n"/>
      <c r="O13" s="155" t="n"/>
      <c r="P13" s="148" t="n"/>
      <c r="Q13" s="149" t="n"/>
      <c r="R13" s="148" t="n"/>
      <c r="S13" s="148" t="n"/>
      <c r="T13" s="148" t="n"/>
      <c r="U13" s="148" t="n"/>
      <c r="V13" s="148" t="n"/>
      <c r="W13" s="148" t="n"/>
      <c r="X13" s="148" t="n"/>
      <c r="Y13" s="148" t="n"/>
      <c r="Z13" s="148" t="n"/>
    </row>
    <row r="14" outlineLevel="1" ht="141" customHeight="1" s="162">
      <c r="A14" s="159" t="inlineStr">
        <is>
          <t>TC_LO_003</t>
        </is>
      </c>
      <c r="B14" s="159" t="inlineStr">
        <is>
          <t>Verify issue order button visibility based on EMR status</t>
        </is>
      </c>
      <c r="C14" s="159" t="inlineStr">
        <is>
          <t>1. Open the completed EMR details page
2. Look for the 'Yêu cầu chỉ định xét nghiệm' button</t>
        </is>
      </c>
      <c r="D14" s="159" t="inlineStr">
        <is>
          <t>1. The 'Yêu cầu chỉ định xét nghiệm' button is hidden to prevent modifying completed EMRs</t>
        </is>
      </c>
      <c r="E14" s="159" t="inlineStr">
        <is>
          <t>1. Doctor is viewing a patient's EMR that was finalized in a previous session (EMR status: 'COMPLETED')</t>
        </is>
      </c>
      <c r="F14" s="155" t="inlineStr">
        <is>
          <t>Pending</t>
        </is>
      </c>
      <c r="G14" s="155" t="n"/>
      <c r="H14" s="155" t="n"/>
      <c r="I14" s="155" t="inlineStr">
        <is>
          <t>Pending</t>
        </is>
      </c>
      <c r="J14" s="155" t="n"/>
      <c r="K14" s="155" t="n"/>
      <c r="L14" s="155" t="inlineStr">
        <is>
          <t>Pending</t>
        </is>
      </c>
      <c r="M14" s="155" t="n"/>
      <c r="N14" s="155" t="n"/>
      <c r="O14" s="155" t="n"/>
      <c r="P14" s="148" t="n"/>
      <c r="Q14" s="149" t="n"/>
      <c r="R14" s="148" t="n"/>
      <c r="S14" s="148" t="n"/>
      <c r="T14" s="148" t="n"/>
      <c r="U14" s="148" t="n"/>
      <c r="V14" s="148" t="n"/>
      <c r="W14" s="148" t="n"/>
      <c r="X14" s="148" t="n"/>
      <c r="Y14" s="148" t="n"/>
      <c r="Z14" s="148" t="n"/>
    </row>
    <row r="15" ht="15.75" customHeight="1" s="162">
      <c r="A15" s="158" t="n"/>
      <c r="B15" s="161" t="n"/>
      <c r="C15" s="151" t="n"/>
      <c r="D15" s="151" t="n"/>
      <c r="E15" s="151" t="n"/>
      <c r="F15" s="151" t="n"/>
      <c r="G15" s="151" t="n"/>
      <c r="H15" s="151" t="n"/>
      <c r="I15" s="151" t="n"/>
      <c r="J15" s="151" t="n"/>
      <c r="K15" s="151" t="n"/>
      <c r="L15" s="151" t="n"/>
      <c r="M15" s="151" t="n"/>
      <c r="N15" s="151" t="n"/>
      <c r="O15" s="152" t="n"/>
      <c r="P15" s="123" t="n"/>
      <c r="Q15" s="144" t="n"/>
      <c r="R15" s="123" t="n"/>
      <c r="S15" s="123" t="n"/>
      <c r="T15" s="123" t="n"/>
      <c r="U15" s="123" t="n"/>
      <c r="V15" s="123" t="n"/>
      <c r="W15" s="123" t="n"/>
      <c r="X15" s="123" t="n"/>
      <c r="Y15" s="123" t="n"/>
      <c r="Z15" s="123" t="n"/>
    </row>
    <row r="16" outlineLevel="1" ht="79.5" customHeight="1" s="162">
      <c r="A16" s="159" t="n"/>
      <c r="B16" s="159" t="n"/>
      <c r="C16" s="159" t="n"/>
      <c r="D16" s="159" t="n"/>
      <c r="E16" s="159" t="n"/>
      <c r="F16" s="155" t="inlineStr">
        <is>
          <t>Pending</t>
        </is>
      </c>
      <c r="G16" s="155" t="n"/>
      <c r="H16" s="155" t="n"/>
      <c r="I16" s="155" t="inlineStr">
        <is>
          <t>Pending</t>
        </is>
      </c>
      <c r="J16" s="155" t="n"/>
      <c r="K16" s="155" t="n"/>
      <c r="L16" s="155" t="inlineStr">
        <is>
          <t>Pending</t>
        </is>
      </c>
      <c r="M16" s="155" t="n"/>
      <c r="N16" s="155" t="n"/>
      <c r="O16" s="155" t="n"/>
      <c r="P16" s="46" t="n"/>
      <c r="Q16" s="149" t="n"/>
      <c r="R16" s="46" t="n"/>
      <c r="S16" s="46" t="n"/>
      <c r="T16" s="46" t="n"/>
      <c r="U16" s="46" t="n"/>
      <c r="V16" s="46" t="n"/>
      <c r="W16" s="46" t="n"/>
      <c r="X16" s="46" t="n"/>
      <c r="Y16" s="46" t="n"/>
      <c r="Z16" s="46" t="n"/>
    </row>
    <row r="17" outlineLevel="1" ht="78.75" customHeight="1" s="162">
      <c r="A17" s="159" t="n"/>
      <c r="B17" s="159" t="n"/>
      <c r="C17" s="159" t="n"/>
      <c r="D17" s="159" t="n"/>
      <c r="E17" s="159" t="n"/>
      <c r="F17" s="155" t="inlineStr">
        <is>
          <t>Pending</t>
        </is>
      </c>
      <c r="G17" s="153" t="n"/>
      <c r="H17" s="153" t="n"/>
      <c r="I17" s="155" t="inlineStr">
        <is>
          <t>Pending</t>
        </is>
      </c>
      <c r="J17" s="153" t="n"/>
      <c r="K17" s="153" t="n"/>
      <c r="L17" s="155" t="inlineStr">
        <is>
          <t>Pending</t>
        </is>
      </c>
      <c r="M17" s="153" t="n"/>
      <c r="N17" s="153" t="n"/>
      <c r="O17" s="153" t="n"/>
      <c r="P17" s="46" t="n"/>
      <c r="Q17" s="115" t="n"/>
      <c r="R17" s="46" t="n"/>
      <c r="S17" s="46" t="n"/>
      <c r="T17" s="46" t="n"/>
      <c r="U17" s="46" t="n"/>
      <c r="V17" s="46" t="n"/>
      <c r="W17" s="46" t="n"/>
      <c r="X17" s="46" t="n"/>
      <c r="Y17" s="46" t="n"/>
      <c r="Z17" s="46" t="n"/>
    </row>
    <row r="18" ht="15.75" customHeight="1" s="162">
      <c r="A18" s="158" t="n"/>
      <c r="B18" s="161" t="n"/>
      <c r="C18" s="151" t="n"/>
      <c r="D18" s="151" t="n"/>
      <c r="E18" s="151" t="n"/>
      <c r="F18" s="151" t="n"/>
      <c r="G18" s="151" t="n"/>
      <c r="H18" s="151" t="n"/>
      <c r="I18" s="151" t="n"/>
      <c r="J18" s="151" t="n"/>
      <c r="K18" s="151" t="n"/>
      <c r="L18" s="151" t="n"/>
      <c r="M18" s="151" t="n"/>
      <c r="N18" s="151" t="n"/>
      <c r="O18" s="152" t="n"/>
      <c r="P18" s="123" t="n"/>
      <c r="Q18" s="144" t="n"/>
      <c r="R18" s="123" t="n"/>
      <c r="S18" s="123" t="n"/>
      <c r="T18" s="123" t="n"/>
      <c r="U18" s="123" t="n"/>
      <c r="V18" s="123" t="n"/>
      <c r="W18" s="123" t="n"/>
      <c r="X18" s="123" t="n"/>
      <c r="Y18" s="123" t="n"/>
      <c r="Z18" s="123" t="n"/>
    </row>
    <row r="19" ht="134.25" customHeight="1" s="162">
      <c r="A19" s="159" t="n"/>
      <c r="B19" s="159" t="n"/>
      <c r="C19" s="159" t="n"/>
      <c r="D19" s="159" t="n"/>
      <c r="E19" s="159" t="n"/>
      <c r="F19" s="154" t="inlineStr">
        <is>
          <t>Pending</t>
        </is>
      </c>
      <c r="G19" s="154" t="n"/>
      <c r="H19" s="155" t="n"/>
      <c r="I19" s="154" t="inlineStr">
        <is>
          <t>Pending</t>
        </is>
      </c>
      <c r="J19" s="154" t="n"/>
      <c r="K19" s="155" t="n"/>
      <c r="L19" s="154" t="inlineStr">
        <is>
          <t>Pending</t>
        </is>
      </c>
      <c r="M19" s="153" t="n"/>
      <c r="N19" s="46" t="n"/>
      <c r="O19" s="155" t="n"/>
      <c r="P19" s="115" t="n"/>
      <c r="Q19" s="46" t="n"/>
      <c r="R19" s="46" t="n"/>
      <c r="S19" s="46" t="n"/>
      <c r="T19" s="46" t="n"/>
      <c r="U19" s="46" t="n"/>
      <c r="V19" s="46" t="n"/>
      <c r="W19" s="46" t="n"/>
      <c r="X19" s="46" t="n"/>
      <c r="Y19" s="46" t="n"/>
    </row>
    <row r="20" ht="99" customHeight="1" s="162">
      <c r="A20" s="159" t="n"/>
      <c r="B20" s="159" t="n"/>
      <c r="C20" s="159" t="n"/>
      <c r="D20" s="159" t="n"/>
      <c r="E20" s="159" t="n"/>
      <c r="F20" s="154" t="inlineStr">
        <is>
          <t>Pending</t>
        </is>
      </c>
      <c r="G20" s="154" t="n"/>
      <c r="H20" s="155" t="n"/>
      <c r="I20" s="154" t="inlineStr">
        <is>
          <t>Pending</t>
        </is>
      </c>
      <c r="J20" s="154" t="n"/>
      <c r="K20" s="155" t="n"/>
      <c r="L20" s="154" t="inlineStr">
        <is>
          <t>Pending</t>
        </is>
      </c>
      <c r="M20" s="153" t="n"/>
      <c r="N20" s="153" t="n"/>
      <c r="O20" s="155" t="n"/>
      <c r="P20" s="115" t="n"/>
      <c r="Q20" s="46" t="n"/>
      <c r="R20" s="46" t="n"/>
      <c r="S20" s="46" t="n"/>
      <c r="T20" s="46" t="n"/>
      <c r="U20" s="46" t="n"/>
      <c r="V20" s="46" t="n"/>
      <c r="W20" s="46" t="n"/>
      <c r="X20" s="46" t="n"/>
      <c r="Y20" s="46" t="n"/>
    </row>
    <row r="21" ht="149.25" customHeight="1" s="162">
      <c r="A21" s="159" t="n"/>
      <c r="B21" s="159" t="n"/>
      <c r="C21" s="159" t="n"/>
      <c r="D21" s="159" t="n"/>
      <c r="E21" s="159" t="n"/>
      <c r="F21" s="154" t="inlineStr">
        <is>
          <t>Pending</t>
        </is>
      </c>
      <c r="G21" s="154" t="n"/>
      <c r="H21" s="155" t="n"/>
      <c r="I21" s="154" t="inlineStr">
        <is>
          <t>Pending</t>
        </is>
      </c>
      <c r="J21" s="154" t="n"/>
      <c r="K21" s="155" t="n"/>
      <c r="L21" s="154" t="inlineStr">
        <is>
          <t>Pending</t>
        </is>
      </c>
      <c r="M21" s="153" t="n"/>
      <c r="N21" s="153" t="n"/>
      <c r="O21" s="155" t="n"/>
      <c r="P21" s="115" t="n"/>
      <c r="Q21" s="46" t="n"/>
      <c r="R21" s="46" t="n"/>
      <c r="S21" s="46" t="n"/>
      <c r="T21" s="46" t="n"/>
      <c r="U21" s="46" t="n"/>
      <c r="V21" s="46" t="n"/>
      <c r="W21" s="46" t="n"/>
      <c r="X21" s="46" t="n"/>
      <c r="Y21" s="46" t="n"/>
    </row>
    <row r="22" ht="12.75" customHeight="1" s="162">
      <c r="A22" s="46" t="n"/>
      <c r="B22" s="46" t="n"/>
      <c r="C22" s="46" t="n"/>
      <c r="D22" s="46" t="n"/>
      <c r="E22" s="46" t="n"/>
      <c r="F22" s="46" t="n"/>
      <c r="G22" s="46" t="n"/>
      <c r="H22" s="46" t="n"/>
      <c r="I22" s="46" t="n"/>
      <c r="J22" s="46" t="n"/>
      <c r="K22" s="46" t="n"/>
      <c r="L22" s="46" t="n"/>
      <c r="M22" s="46" t="n"/>
      <c r="N22" s="46" t="n"/>
      <c r="O22" s="46" t="n"/>
      <c r="P22" s="46" t="n"/>
      <c r="Q22" s="115" t="n"/>
      <c r="R22" s="46" t="n"/>
      <c r="S22" s="46" t="n"/>
      <c r="T22" s="46" t="n"/>
      <c r="U22" s="46" t="n"/>
      <c r="V22" s="46" t="n"/>
      <c r="W22" s="46" t="n"/>
      <c r="X22" s="46" t="n"/>
      <c r="Y22" s="46" t="n"/>
      <c r="Z22" s="46" t="n"/>
    </row>
    <row r="23" ht="12.75" customHeight="1" s="162">
      <c r="A23" s="46" t="n"/>
      <c r="B23" s="46" t="n"/>
      <c r="C23" s="46" t="n"/>
      <c r="D23" s="46" t="n"/>
      <c r="E23" s="46" t="n"/>
      <c r="F23" s="46" t="n"/>
      <c r="G23" s="46" t="n"/>
      <c r="H23" s="46" t="n"/>
      <c r="I23" s="46" t="n"/>
      <c r="J23" s="46" t="n"/>
      <c r="K23" s="46" t="n"/>
      <c r="L23" s="46" t="n"/>
      <c r="M23" s="46" t="n"/>
      <c r="N23" s="46" t="n"/>
      <c r="O23" s="46" t="n"/>
      <c r="P23" s="46" t="n"/>
      <c r="Q23" s="115" t="n"/>
      <c r="R23" s="46" t="n"/>
      <c r="S23" s="46" t="n"/>
      <c r="T23" s="46" t="n"/>
      <c r="U23" s="46" t="n"/>
      <c r="V23" s="46" t="n"/>
      <c r="W23" s="46" t="n"/>
      <c r="X23" s="46" t="n"/>
      <c r="Y23" s="46" t="n"/>
      <c r="Z23" s="46" t="n"/>
    </row>
    <row r="24" ht="12.75" customHeight="1" s="162">
      <c r="A24" s="46" t="n"/>
      <c r="B24" s="46" t="n"/>
      <c r="C24" s="46" t="n"/>
      <c r="D24" s="46" t="n"/>
      <c r="E24" s="46" t="n"/>
      <c r="F24" s="46" t="n"/>
      <c r="G24" s="46" t="n"/>
      <c r="H24" s="46" t="n"/>
      <c r="I24" s="46" t="n"/>
      <c r="J24" s="46" t="n"/>
      <c r="K24" s="46" t="n"/>
      <c r="L24" s="46" t="n"/>
      <c r="M24" s="46" t="n"/>
      <c r="N24" s="46" t="n"/>
      <c r="O24" s="46" t="n"/>
      <c r="P24" s="46" t="n"/>
      <c r="Q24" s="115" t="n"/>
      <c r="R24" s="46" t="n"/>
      <c r="S24" s="46" t="n"/>
      <c r="T24" s="46" t="n"/>
      <c r="U24" s="46" t="n"/>
      <c r="V24" s="46" t="n"/>
      <c r="W24" s="46" t="n"/>
      <c r="X24" s="46" t="n"/>
      <c r="Y24" s="46" t="n"/>
      <c r="Z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115"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115"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115"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115"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115"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115"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115"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115"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115"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115"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115"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115"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115"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115"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115"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115"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115"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115"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115"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115"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115"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115"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115"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115"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115"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115"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115"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115"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115"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115"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115"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115"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115"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115"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115"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115"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115"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115"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115"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115"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115"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115"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115"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115"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115"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115"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115"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115"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115"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115"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115"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115"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115"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115"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115"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115"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115"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115"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115"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115"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115"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115"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115"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115"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115"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115"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115"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115"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115"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115"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115"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115"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115"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115"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115"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115"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115"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115"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115"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115"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115"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115"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115"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115"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115"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115"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115"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115"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115"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115"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115"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115"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115"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115"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115"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115"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115"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115"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115"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115"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115"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115"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115"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115"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115"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115"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115"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115"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115"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115"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115"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115"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115"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115"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115"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115"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115"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115"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115"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115"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115"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115"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115"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115"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115"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115"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115"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115"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115"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115"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115"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115"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115"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115"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115"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115"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115"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115"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115"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115"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115"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115"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115"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115"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115"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115"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115"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115"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115"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115"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115"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115"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115"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115"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115"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115"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115"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115"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115"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115"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115"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115"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115"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115"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115"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115"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115"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115"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115"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115"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115"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115"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115"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115"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115"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115"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115"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115"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115"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115"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115"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115"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115"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115"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115"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115"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115"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115"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115"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115"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115"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115"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115"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115"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115"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115" t="n"/>
      <c r="R220" s="46" t="n"/>
      <c r="S220" s="46" t="n"/>
      <c r="T220" s="46" t="n"/>
      <c r="U220" s="46" t="n"/>
      <c r="V220" s="46" t="n"/>
      <c r="W220" s="46" t="n"/>
      <c r="X220" s="46" t="n"/>
      <c r="Y220" s="46" t="n"/>
      <c r="Z220" s="46" t="n"/>
    </row>
    <row r="221" ht="12.75" customHeight="1" s="162">
      <c r="A221" s="46" t="n"/>
      <c r="B221" s="46" t="n"/>
      <c r="C221" s="46" t="n"/>
      <c r="D221" s="46" t="n"/>
      <c r="E221" s="46" t="n"/>
      <c r="F221" s="46" t="n"/>
      <c r="G221" s="46" t="n"/>
      <c r="H221" s="46" t="n"/>
      <c r="I221" s="46" t="n"/>
      <c r="J221" s="46" t="n"/>
      <c r="K221" s="46" t="n"/>
      <c r="L221" s="46" t="n"/>
      <c r="M221" s="46" t="n"/>
      <c r="N221" s="46" t="n"/>
      <c r="O221" s="46" t="n"/>
      <c r="P221" s="46" t="n"/>
      <c r="Q221" s="115" t="n"/>
      <c r="R221" s="46" t="n"/>
      <c r="S221" s="46" t="n"/>
      <c r="T221" s="46" t="n"/>
      <c r="U221" s="46" t="n"/>
      <c r="V221" s="46" t="n"/>
      <c r="W221" s="46" t="n"/>
      <c r="X221" s="46" t="n"/>
      <c r="Y221" s="46" t="n"/>
      <c r="Z221" s="46" t="n"/>
    </row>
    <row r="222" ht="15.75" customHeight="1" s="162"/>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3">
    <mergeCell ref="B3:E3"/>
    <mergeCell ref="B2:E2"/>
    <mergeCell ref="B4:E4"/>
  </mergeCells>
  <dataValidations count="1">
    <dataValidation sqref="F12:F21 G2:G3 G9 G22:G146 I12:I21 J2:J3 J9 J22:J146 L12:L21 M2:M3 M9 M22:M146"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0" summaryRight="0"/>
    <pageSetUpPr/>
  </sheetPr>
  <dimension ref="A1:Z220"/>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62" min="1" max="1"/>
    <col width="34.5" customWidth="1" style="162" min="2" max="2"/>
    <col width="34.13" customWidth="1" style="162" min="3" max="3"/>
    <col width="34.63" customWidth="1" style="162" min="4" max="4"/>
    <col width="28.38" customWidth="1" style="162" min="5" max="5"/>
    <col width="9.380000000000001" customWidth="1" style="162" min="6" max="6"/>
    <col outlineLevel="1" width="10.63" customWidth="1" style="162" min="7" max="7"/>
    <col outlineLevel="1" width="7" customWidth="1" style="162" min="8" max="8"/>
    <col width="9.380000000000001" customWidth="1" style="162" min="9" max="9"/>
    <col outlineLevel="1" width="10.63" customWidth="1" style="162" min="10" max="10"/>
    <col outlineLevel="1" width="7" customWidth="1" style="162" min="11" max="11"/>
    <col width="9.380000000000001" customWidth="1" style="162" min="12" max="12"/>
    <col outlineLevel="1" width="10.63" customWidth="1" style="162" min="13" max="13"/>
    <col outlineLevel="1" width="7" customWidth="1" style="162" min="14" max="14"/>
    <col width="28.63" customWidth="1" style="162" min="15" max="15"/>
    <col width="10.13" customWidth="1" style="162" min="16" max="16"/>
    <col width="8.130000000000001" customWidth="1" style="162" min="17" max="17"/>
    <col hidden="1" width="7.63" customWidth="1" style="162" min="18" max="18"/>
    <col width="9" customWidth="1" style="162" min="19" max="26"/>
  </cols>
  <sheetData>
    <row r="1" ht="12.75" customHeight="1" s="162">
      <c r="A1" s="46" t="n"/>
      <c r="B1" s="46" t="n"/>
      <c r="C1" s="46" t="n"/>
      <c r="D1" s="46" t="n"/>
      <c r="E1" s="46" t="n"/>
      <c r="F1" s="46" t="n"/>
      <c r="G1" s="46" t="n"/>
      <c r="H1" s="46" t="n"/>
      <c r="I1" s="46" t="n"/>
      <c r="J1" s="46" t="n"/>
      <c r="K1" s="46" t="n"/>
      <c r="L1" s="46" t="n"/>
      <c r="M1" s="46" t="n"/>
      <c r="N1" s="46" t="n"/>
      <c r="O1" s="46" t="n"/>
      <c r="P1" s="46" t="n"/>
      <c r="Q1" s="115" t="n"/>
      <c r="R1" s="46" t="n"/>
      <c r="S1" s="46" t="n"/>
      <c r="T1" s="46" t="n"/>
      <c r="U1" s="46" t="n"/>
      <c r="V1" s="46" t="n"/>
      <c r="W1" s="46" t="n"/>
      <c r="X1" s="46" t="n"/>
      <c r="Y1" s="46" t="n"/>
      <c r="Z1" s="46" t="n"/>
    </row>
    <row r="2" ht="15" customHeight="1" s="162">
      <c r="A2" s="116" t="inlineStr">
        <is>
          <t>Workflow</t>
        </is>
      </c>
      <c r="B2" s="174" t="inlineStr">
        <is>
          <t>Submit_Lab_Results</t>
        </is>
      </c>
      <c r="C2" s="175" t="n"/>
      <c r="D2" s="175" t="n"/>
      <c r="E2" s="176" t="n"/>
      <c r="F2" s="120" t="n"/>
      <c r="G2" s="121" t="n"/>
      <c r="H2" s="11" t="n"/>
      <c r="I2" s="120" t="n"/>
      <c r="J2" s="121" t="n"/>
      <c r="K2" s="11" t="n"/>
      <c r="L2" s="120" t="n"/>
      <c r="M2" s="121" t="n"/>
      <c r="N2" s="11" t="n"/>
      <c r="O2" s="11" t="n"/>
      <c r="P2" s="11" t="n"/>
      <c r="Q2" s="122" t="n"/>
      <c r="R2" s="123" t="inlineStr">
        <is>
          <t>Passed</t>
        </is>
      </c>
      <c r="S2" s="123" t="n"/>
      <c r="T2" s="123" t="n"/>
      <c r="U2" s="123" t="n"/>
      <c r="V2" s="123" t="n"/>
      <c r="W2" s="123" t="n"/>
      <c r="X2" s="123" t="n"/>
      <c r="Y2" s="123" t="n"/>
      <c r="Z2" s="123" t="n"/>
    </row>
    <row r="3" ht="12.75" customHeight="1" s="162">
      <c r="A3" s="124" t="inlineStr">
        <is>
          <t>Test requirement</t>
        </is>
      </c>
      <c r="B3" s="177" t="inlineStr">
        <is>
          <t>Verify Lab Technician can enter metrics, uploads images, and submits results (status changes to SUBMITTED) and Save draft to prevent data loss</t>
        </is>
      </c>
      <c r="C3" s="164" t="n"/>
      <c r="D3" s="164" t="n"/>
      <c r="E3" s="178" t="n"/>
      <c r="F3" s="120" t="n"/>
      <c r="G3" s="121" t="n"/>
      <c r="H3" s="11" t="n"/>
      <c r="I3" s="120" t="n"/>
      <c r="J3" s="121" t="n"/>
      <c r="K3" s="11" t="n"/>
      <c r="L3" s="120" t="n"/>
      <c r="M3" s="121" t="n"/>
      <c r="N3" s="11" t="n"/>
      <c r="O3" s="11" t="n"/>
      <c r="P3" s="11" t="n"/>
      <c r="Q3" s="122" t="n"/>
      <c r="R3" s="123" t="inlineStr">
        <is>
          <t>Failed</t>
        </is>
      </c>
      <c r="S3" s="123" t="n"/>
      <c r="T3" s="123" t="n"/>
      <c r="U3" s="123" t="n"/>
      <c r="V3" s="123" t="n"/>
      <c r="W3" s="123" t="n"/>
      <c r="X3" s="123" t="n"/>
      <c r="Y3" s="123" t="n"/>
      <c r="Z3" s="123" t="n"/>
    </row>
    <row r="4" ht="18" customHeight="1" s="162">
      <c r="A4" s="124" t="inlineStr">
        <is>
          <t>Number of TCs</t>
        </is>
      </c>
      <c r="B4" s="177">
        <f>COUNTIF(A12:A1000,"TC_*")</f>
        <v/>
      </c>
      <c r="C4" s="164" t="n"/>
      <c r="D4" s="164" t="n"/>
      <c r="E4" s="178" t="n"/>
      <c r="F4" s="120" t="n"/>
      <c r="G4" s="121" t="n"/>
      <c r="H4" s="11" t="n"/>
      <c r="I4" s="120" t="n"/>
      <c r="J4" s="121" t="n"/>
      <c r="K4" s="11" t="n"/>
      <c r="L4" s="120" t="n"/>
      <c r="M4" s="121" t="n"/>
      <c r="N4" s="11" t="n"/>
      <c r="O4" s="11" t="n"/>
      <c r="P4" s="11" t="n"/>
      <c r="Q4" s="122" t="n"/>
      <c r="R4" s="123" t="inlineStr">
        <is>
          <t>Pending</t>
        </is>
      </c>
      <c r="S4" s="123" t="n"/>
      <c r="T4" s="123" t="n"/>
      <c r="U4" s="123" t="n"/>
      <c r="V4" s="123" t="n"/>
      <c r="W4" s="123" t="n"/>
      <c r="X4" s="123" t="n"/>
      <c r="Y4" s="123" t="n"/>
      <c r="Z4" s="123" t="n"/>
    </row>
    <row r="5" ht="19.5" customHeight="1" s="162">
      <c r="A5" s="127" t="inlineStr">
        <is>
          <t>Testing Round</t>
        </is>
      </c>
      <c r="B5" s="128" t="inlineStr">
        <is>
          <t>Passed</t>
        </is>
      </c>
      <c r="C5" s="128" t="inlineStr">
        <is>
          <t>Failed</t>
        </is>
      </c>
      <c r="D5" s="128" t="inlineStr">
        <is>
          <t>Pending</t>
        </is>
      </c>
      <c r="E5" s="129" t="inlineStr">
        <is>
          <t>N/A</t>
        </is>
      </c>
      <c r="F5" s="130" t="n"/>
      <c r="G5" s="130" t="n"/>
      <c r="H5" s="131" t="n"/>
      <c r="I5" s="130" t="n"/>
      <c r="J5" s="130" t="n"/>
      <c r="K5" s="131" t="n"/>
      <c r="L5" s="130" t="n"/>
      <c r="M5" s="130" t="n"/>
      <c r="N5" s="131" t="n"/>
      <c r="O5" s="131" t="n"/>
      <c r="P5" s="131" t="n"/>
      <c r="Q5" s="132" t="n"/>
      <c r="R5" s="123" t="inlineStr">
        <is>
          <t>N/A</t>
        </is>
      </c>
      <c r="S5" s="123" t="n"/>
      <c r="T5" s="123" t="n"/>
      <c r="U5" s="123" t="n"/>
      <c r="V5" s="123" t="n"/>
      <c r="W5" s="123" t="n"/>
      <c r="X5" s="123" t="n"/>
      <c r="Y5" s="123" t="n"/>
      <c r="Z5" s="123" t="n"/>
    </row>
    <row r="6" ht="15" customHeight="1" s="162">
      <c r="A6" s="127" t="inlineStr">
        <is>
          <t>Round 1</t>
        </is>
      </c>
      <c r="B6" s="133">
        <f>COUNTIF($F10:$F996,B5)</f>
        <v/>
      </c>
      <c r="C6" s="133">
        <f>COUNTIF($F10:$F996,C5)</f>
        <v/>
      </c>
      <c r="D6" s="133">
        <f>COUNTIF($F10:$F996,D5)</f>
        <v/>
      </c>
      <c r="E6" s="134">
        <f>COUNTIF($F10:$F996,E5)</f>
        <v/>
      </c>
      <c r="F6" s="135" t="n"/>
      <c r="G6" s="135" t="n"/>
      <c r="H6" s="131" t="n"/>
      <c r="I6" s="135" t="n"/>
      <c r="J6" s="135" t="n"/>
      <c r="K6" s="131" t="n"/>
      <c r="L6" s="135" t="n"/>
      <c r="M6" s="135" t="n"/>
      <c r="N6" s="131" t="n"/>
      <c r="O6" s="131" t="n"/>
      <c r="P6" s="131" t="n"/>
      <c r="Q6" s="132" t="n"/>
      <c r="R6" s="123" t="n"/>
      <c r="S6" s="123" t="n"/>
      <c r="T6" s="123" t="n"/>
      <c r="U6" s="123" t="n"/>
      <c r="V6" s="123" t="n"/>
      <c r="W6" s="123" t="n"/>
      <c r="X6" s="123" t="n"/>
      <c r="Y6" s="123" t="n"/>
      <c r="Z6" s="123" t="n"/>
    </row>
    <row r="7" ht="15" customHeight="1" s="162">
      <c r="A7" s="127" t="inlineStr">
        <is>
          <t>Round 2</t>
        </is>
      </c>
      <c r="B7" s="133">
        <f>COUNTIF($F10:$F996,B5)</f>
        <v/>
      </c>
      <c r="C7" s="133">
        <f>COUNTIF($F10:$F996,C5)</f>
        <v/>
      </c>
      <c r="D7" s="133">
        <f>COUNTIF($F10:$F996,D5)</f>
        <v/>
      </c>
      <c r="E7" s="134">
        <f>COUNTIF($F10:$F996,E5)</f>
        <v/>
      </c>
      <c r="F7" s="135" t="n"/>
      <c r="G7" s="135" t="n"/>
      <c r="H7" s="131" t="n"/>
      <c r="I7" s="135" t="n"/>
      <c r="J7" s="135" t="n"/>
      <c r="K7" s="131" t="n"/>
      <c r="L7" s="135" t="n"/>
      <c r="M7" s="135" t="n"/>
      <c r="N7" s="131" t="n"/>
      <c r="O7" s="131" t="n"/>
      <c r="P7" s="131" t="n"/>
      <c r="Q7" s="132" t="n"/>
      <c r="R7" s="123" t="n"/>
      <c r="S7" s="123" t="n"/>
      <c r="T7" s="123" t="n"/>
      <c r="U7" s="123" t="n"/>
      <c r="V7" s="123" t="n"/>
      <c r="W7" s="123" t="n"/>
      <c r="X7" s="123" t="n"/>
      <c r="Y7" s="123" t="n"/>
      <c r="Z7" s="123" t="n"/>
    </row>
    <row r="8" ht="15" customHeight="1" s="162">
      <c r="A8" s="136" t="inlineStr">
        <is>
          <t>Round 3</t>
        </is>
      </c>
      <c r="B8" s="137">
        <f>COUNTIF($F10:$F996,B5)</f>
        <v/>
      </c>
      <c r="C8" s="137">
        <f>COUNTIF($F10:$F996,C5)</f>
        <v/>
      </c>
      <c r="D8" s="137">
        <f>COUNTIF($F10:$F996,D5)</f>
        <v/>
      </c>
      <c r="E8" s="138">
        <f>COUNTIF($F10:$F996,E5)</f>
        <v/>
      </c>
      <c r="F8" s="135" t="n"/>
      <c r="G8" s="135" t="n"/>
      <c r="H8" s="131" t="n"/>
      <c r="I8" s="135" t="n"/>
      <c r="J8" s="135" t="n"/>
      <c r="K8" s="131" t="n"/>
      <c r="L8" s="135" t="n"/>
      <c r="M8" s="135" t="n"/>
      <c r="N8" s="131" t="n"/>
      <c r="O8" s="131" t="n"/>
      <c r="P8" s="131" t="n"/>
      <c r="Q8" s="132" t="n"/>
      <c r="R8" s="123" t="n"/>
      <c r="S8" s="123" t="n"/>
      <c r="T8" s="123" t="n"/>
      <c r="U8" s="123" t="n"/>
      <c r="V8" s="123" t="n"/>
      <c r="W8" s="123" t="n"/>
      <c r="X8" s="123" t="n"/>
      <c r="Y8" s="123" t="n"/>
      <c r="Z8" s="123" t="n"/>
    </row>
    <row r="9" ht="15" customHeight="1" s="162">
      <c r="A9" s="131" t="n"/>
      <c r="B9" s="131" t="n"/>
      <c r="C9" s="131" t="n"/>
      <c r="D9" s="131" t="n"/>
      <c r="E9" s="131" t="n"/>
      <c r="F9" s="114" t="n"/>
      <c r="G9" s="131" t="n"/>
      <c r="H9" s="131" t="n"/>
      <c r="I9" s="114" t="n"/>
      <c r="J9" s="131" t="n"/>
      <c r="K9" s="131" t="n"/>
      <c r="L9" s="114" t="n"/>
      <c r="M9" s="131" t="n"/>
      <c r="N9" s="131" t="n"/>
      <c r="O9" s="131" t="n"/>
      <c r="P9" s="131" t="n"/>
      <c r="Q9" s="132" t="n"/>
      <c r="R9" s="123" t="n"/>
      <c r="S9" s="123" t="n"/>
      <c r="T9" s="123" t="n"/>
      <c r="U9" s="123" t="n"/>
      <c r="V9" s="123" t="n"/>
      <c r="W9" s="123" t="n"/>
      <c r="X9" s="123" t="n"/>
      <c r="Y9" s="123" t="n"/>
      <c r="Z9" s="123" t="n"/>
    </row>
    <row r="10" ht="25.5" customHeight="1" s="162">
      <c r="A10" s="139" t="inlineStr">
        <is>
          <t>Test Case ID</t>
        </is>
      </c>
      <c r="B10" s="139" t="inlineStr">
        <is>
          <t>Test Case Description</t>
        </is>
      </c>
      <c r="C10" s="139" t="inlineStr">
        <is>
          <t>Test Case Procedure</t>
        </is>
      </c>
      <c r="D10" s="139" t="inlineStr">
        <is>
          <t>Expected Results</t>
        </is>
      </c>
      <c r="E10" s="139" t="inlineStr">
        <is>
          <t>Pre-conditions</t>
        </is>
      </c>
      <c r="F10" s="139" t="inlineStr">
        <is>
          <t>Round 1</t>
        </is>
      </c>
      <c r="G10" s="139" t="inlineStr">
        <is>
          <t>Test date</t>
        </is>
      </c>
      <c r="H10" s="139" t="inlineStr">
        <is>
          <t>Tester</t>
        </is>
      </c>
      <c r="I10" s="139" t="inlineStr">
        <is>
          <t>Round 2</t>
        </is>
      </c>
      <c r="J10" s="139" t="inlineStr">
        <is>
          <t>Test date</t>
        </is>
      </c>
      <c r="K10" s="139" t="inlineStr">
        <is>
          <t>Tester</t>
        </is>
      </c>
      <c r="L10" s="139" t="inlineStr">
        <is>
          <t>Round 3</t>
        </is>
      </c>
      <c r="M10" s="139" t="inlineStr">
        <is>
          <t>Test date</t>
        </is>
      </c>
      <c r="N10" s="139" t="inlineStr">
        <is>
          <t>Tester</t>
        </is>
      </c>
      <c r="O10" s="139" t="inlineStr">
        <is>
          <t>Note</t>
        </is>
      </c>
      <c r="P10" s="123" t="n"/>
      <c r="Q10" s="140" t="n"/>
      <c r="R10" s="123" t="n"/>
      <c r="S10" s="123" t="n"/>
      <c r="T10" s="123" t="n"/>
      <c r="U10" s="123" t="n"/>
      <c r="V10" s="123" t="n"/>
      <c r="W10" s="123" t="n"/>
      <c r="X10" s="123" t="n"/>
      <c r="Y10" s="123" t="n"/>
      <c r="Z10" s="123" t="n"/>
    </row>
    <row r="11" ht="15.75" customHeight="1" s="162">
      <c r="A11" s="158" t="inlineStr">
        <is>
          <t>Scenario A</t>
        </is>
      </c>
      <c r="B11" s="158" t="inlineStr">
        <is>
          <t>Submit Lab Results</t>
        </is>
      </c>
      <c r="C11" s="142" t="n"/>
      <c r="D11" s="142" t="n"/>
      <c r="E11" s="142" t="n"/>
      <c r="F11" s="142" t="n"/>
      <c r="G11" s="142" t="n"/>
      <c r="H11" s="142" t="n"/>
      <c r="I11" s="142" t="n"/>
      <c r="J11" s="142" t="n"/>
      <c r="K11" s="142" t="n"/>
      <c r="L11" s="142" t="n"/>
      <c r="M11" s="142" t="n"/>
      <c r="N11" s="142" t="n"/>
      <c r="O11" s="143" t="n"/>
      <c r="P11" s="123" t="n"/>
      <c r="Q11" s="144" t="n"/>
      <c r="R11" s="123" t="n"/>
      <c r="S11" s="123" t="n"/>
      <c r="T11" s="123" t="n"/>
      <c r="U11" s="123" t="n"/>
      <c r="V11" s="123" t="n"/>
      <c r="W11" s="123" t="n"/>
      <c r="X11" s="123" t="n"/>
      <c r="Y11" s="123" t="n"/>
      <c r="Z11" s="123" t="n"/>
    </row>
    <row r="12" outlineLevel="1" ht="150" customHeight="1" s="162">
      <c r="A12" s="159" t="inlineStr">
        <is>
          <t>TC_SUB_001</t>
        </is>
      </c>
      <c r="B12" s="159" t="inlineStr">
        <is>
          <t>Lab Technician submits completed lab results</t>
        </is>
      </c>
      <c r="C12" s="159" t="inlineStr">
        <is>
          <t>1. Open the LabOrder from the queue
2. Enter visual metrics (SPH, CYL, AXIS, IOP) for both eyes
3. Upload a scan image file (JPEG/PNG/WEBP, &lt; 10MB)
4. Enter technician notes
5. Click the 'Gửi kết quả' (Submit Results) button</t>
        </is>
      </c>
      <c r="D12" s="160" t="inlineStr">
        <is>
          <t>1. The LabOrder status changes to 'SUBMITTED'
2. The results are locked from further editing by the technician
3. A success notification is shown, and the LabOrder is cleared from the In_Progress list</t>
        </is>
      </c>
      <c r="E12" s="160" t="inlineStr">
        <is>
          <t>1. Lab Technician is logged in
2. A LabOrder assigned to to him is in 'PENDING' or 'IN_PROGRESS' status</t>
        </is>
      </c>
      <c r="F12" s="155" t="inlineStr">
        <is>
          <t>Pending</t>
        </is>
      </c>
      <c r="G12" s="155" t="n"/>
      <c r="H12" s="155" t="n"/>
      <c r="I12" s="155" t="inlineStr">
        <is>
          <t>Pending</t>
        </is>
      </c>
      <c r="J12" s="155" t="n"/>
      <c r="K12" s="155" t="n"/>
      <c r="L12" s="155" t="inlineStr">
        <is>
          <t>Pending</t>
        </is>
      </c>
      <c r="M12" s="155" t="n"/>
      <c r="N12" s="155" t="n"/>
      <c r="O12" s="155" t="n"/>
      <c r="P12" s="148" t="n"/>
      <c r="Q12" s="149" t="n"/>
      <c r="R12" s="148" t="n"/>
      <c r="S12" s="148" t="n"/>
      <c r="T12" s="148" t="n"/>
      <c r="U12" s="148" t="n"/>
      <c r="V12" s="148" t="n"/>
      <c r="W12" s="148" t="n"/>
      <c r="X12" s="148" t="n"/>
      <c r="Y12" s="148" t="n"/>
      <c r="Z12" s="148" t="n"/>
    </row>
    <row r="13" outlineLevel="1" ht="141" customHeight="1" s="162">
      <c r="A13" s="159" t="inlineStr">
        <is>
          <t>TC_SUB_002</t>
        </is>
      </c>
      <c r="B13" s="159" t="inlineStr">
        <is>
          <t>Submit results with invalid metrics validation</t>
        </is>
      </c>
      <c r="C13" s="159" t="inlineStr">
        <is>
          <t>1. Input: IOP = 120 (too high) or -5 (negative)
2. Input: AXIS = 210 (valid range [0, 180])
3. Click 'Gửi kết quả'</t>
        </is>
      </c>
      <c r="D13" s="159" t="inlineStr">
        <is>
          <t>1. The system automatically changes IOP to -2, AXIS = 180
2. The LabOrder status changes to 'SUBMITTED'
3. The results are locked from further editing by the technician
4. A success notification is shown, and the LabOrder is cleared from the In_Progress list</t>
        </is>
      </c>
      <c r="E13" s="159" t="inlineStr">
        <is>
          <t>1. Lab Technician is on the results entry form</t>
        </is>
      </c>
      <c r="F13" s="155" t="inlineStr">
        <is>
          <t>Pending</t>
        </is>
      </c>
      <c r="G13" s="155" t="n"/>
      <c r="H13" s="155" t="n"/>
      <c r="I13" s="155" t="inlineStr">
        <is>
          <t>Pending</t>
        </is>
      </c>
      <c r="J13" s="155" t="n"/>
      <c r="K13" s="155" t="n"/>
      <c r="L13" s="155" t="inlineStr">
        <is>
          <t>Pending</t>
        </is>
      </c>
      <c r="M13" s="155" t="n"/>
      <c r="N13" s="155" t="n"/>
      <c r="O13" s="155" t="n"/>
      <c r="P13" s="148" t="n"/>
      <c r="Q13" s="149" t="n"/>
      <c r="R13" s="148" t="n"/>
      <c r="S13" s="148" t="n"/>
      <c r="T13" s="148" t="n"/>
      <c r="U13" s="148" t="n"/>
      <c r="V13" s="148" t="n"/>
      <c r="W13" s="148" t="n"/>
      <c r="X13" s="148" t="n"/>
      <c r="Y13" s="148" t="n"/>
      <c r="Z13" s="148" t="n"/>
    </row>
    <row r="14" ht="15.75" customHeight="1" s="162">
      <c r="A14" s="158" t="inlineStr">
        <is>
          <t>Scenario B</t>
        </is>
      </c>
      <c r="B14" s="161" t="inlineStr">
        <is>
          <t>Save Draft Lab Results</t>
        </is>
      </c>
      <c r="C14" s="151" t="n"/>
      <c r="D14" s="151" t="inlineStr">
        <is>
          <t xml:space="preserve">                                                                                                                                                                                                                        </t>
        </is>
      </c>
      <c r="E14" s="151" t="n"/>
      <c r="F14" s="151" t="n"/>
      <c r="G14" s="151" t="n"/>
      <c r="H14" s="151" t="n"/>
      <c r="I14" s="151" t="n"/>
      <c r="J14" s="151" t="n"/>
      <c r="K14" s="151" t="n"/>
      <c r="L14" s="151" t="n"/>
      <c r="M14" s="151" t="n"/>
      <c r="N14" s="151" t="n"/>
      <c r="O14" s="152" t="n"/>
      <c r="P14" s="123" t="n"/>
      <c r="Q14" s="144" t="n"/>
      <c r="R14" s="123" t="n"/>
      <c r="S14" s="123" t="n"/>
      <c r="T14" s="123" t="n"/>
      <c r="U14" s="123" t="n"/>
      <c r="V14" s="123" t="n"/>
      <c r="W14" s="123" t="n"/>
      <c r="X14" s="123" t="n"/>
      <c r="Y14" s="123" t="n"/>
      <c r="Z14" s="123" t="n"/>
    </row>
    <row r="15" outlineLevel="1" ht="79.5" customHeight="1" s="162">
      <c r="A15" s="159" t="inlineStr">
        <is>
          <t>TC_SUB_003</t>
        </is>
      </c>
      <c r="B15" s="159" t="inlineStr">
        <is>
          <t>Lab Technician saves results as a draft</t>
        </is>
      </c>
      <c r="C15" s="159" t="inlineStr">
        <is>
          <t>1. Input right eye metrics (SPH = -2.00, CYL = -0.50, AXIS = 180)
2. Click the 'Lưu nháp' (Save Draft) button</t>
        </is>
      </c>
      <c r="D15" s="159" t="inlineStr">
        <is>
          <t>1. The system saves the entered right eye data
2. The LabOrder status remains 'IN_PROGRESS'
3. The doctor does not see this order as 'SUBMITTED'</t>
        </is>
      </c>
      <c r="E15" s="159" t="inlineStr">
        <is>
          <t>1. Lab Technician is editing a LabOrder in the workspace</t>
        </is>
      </c>
      <c r="F15" s="155" t="inlineStr">
        <is>
          <t>Pending</t>
        </is>
      </c>
      <c r="G15" s="155" t="n"/>
      <c r="H15" s="155" t="n"/>
      <c r="I15" s="155" t="inlineStr">
        <is>
          <t>Pending</t>
        </is>
      </c>
      <c r="J15" s="155" t="n"/>
      <c r="K15" s="155" t="n"/>
      <c r="L15" s="155" t="inlineStr">
        <is>
          <t>Pending</t>
        </is>
      </c>
      <c r="M15" s="155" t="n"/>
      <c r="N15" s="155" t="n"/>
      <c r="O15" s="155" t="n"/>
      <c r="P15" s="46" t="n"/>
      <c r="Q15" s="149" t="n"/>
      <c r="R15" s="46" t="n"/>
      <c r="S15" s="46" t="n"/>
      <c r="T15" s="46" t="n"/>
      <c r="U15" s="46" t="n"/>
      <c r="V15" s="46" t="n"/>
      <c r="W15" s="46" t="n"/>
      <c r="X15" s="46" t="n"/>
      <c r="Y15" s="46" t="n"/>
      <c r="Z15" s="46" t="n"/>
    </row>
    <row r="16" outlineLevel="1" ht="78.75" customHeight="1" s="162">
      <c r="A16" s="159" t="inlineStr">
        <is>
          <t>TC_SUB_004</t>
        </is>
      </c>
      <c r="B16" s="159" t="inlineStr">
        <is>
          <t>Verify draft data retention after page exit</t>
        </is>
      </c>
      <c r="C16" s="159" t="inlineStr">
        <is>
          <t>1. Open the same LabOrder from the queue again
2. Check the fields</t>
        </is>
      </c>
      <c r="D16" s="159" t="inlineStr">
        <is>
          <t>1. All previously saved draft metrics (right eye SPH, CYL, AXIS) are loaded correctly into the form fields</t>
        </is>
      </c>
      <c r="E16" s="159" t="inlineStr">
        <is>
          <t>1. Lab Technician previously saved a draft for a LabOrder
2. The technician exited the page</t>
        </is>
      </c>
      <c r="F16" s="155" t="inlineStr">
        <is>
          <t>Pending</t>
        </is>
      </c>
      <c r="G16" s="153" t="n"/>
      <c r="H16" s="153" t="n"/>
      <c r="I16" s="155" t="inlineStr">
        <is>
          <t>Pending</t>
        </is>
      </c>
      <c r="J16" s="153" t="n"/>
      <c r="K16" s="153" t="n"/>
      <c r="L16" s="155" t="inlineStr">
        <is>
          <t>Pending</t>
        </is>
      </c>
      <c r="M16" s="153" t="n"/>
      <c r="N16" s="153" t="n"/>
      <c r="O16" s="153" t="n"/>
      <c r="P16" s="46" t="n"/>
      <c r="Q16" s="115" t="n"/>
      <c r="R16" s="46" t="n"/>
      <c r="S16" s="46" t="n"/>
      <c r="T16" s="46" t="n"/>
      <c r="U16" s="46" t="n"/>
      <c r="V16" s="46" t="n"/>
      <c r="W16" s="46" t="n"/>
      <c r="X16" s="46" t="n"/>
      <c r="Y16" s="46" t="n"/>
      <c r="Z16" s="46" t="n"/>
    </row>
    <row r="17" ht="15.75" customHeight="1" s="162">
      <c r="A17" s="158" t="n"/>
      <c r="B17" s="161" t="n"/>
      <c r="C17" s="151" t="n"/>
      <c r="D17" s="151" t="n"/>
      <c r="E17" s="151" t="n"/>
      <c r="F17" s="151" t="n"/>
      <c r="G17" s="151" t="n"/>
      <c r="H17" s="151" t="n"/>
      <c r="I17" s="151" t="n"/>
      <c r="J17" s="151" t="n"/>
      <c r="K17" s="151" t="n"/>
      <c r="L17" s="151" t="n"/>
      <c r="M17" s="151" t="n"/>
      <c r="N17" s="151" t="n"/>
      <c r="O17" s="152" t="n"/>
      <c r="P17" s="123" t="n"/>
      <c r="Q17" s="144" t="n"/>
      <c r="R17" s="123" t="n"/>
      <c r="S17" s="123" t="n"/>
      <c r="T17" s="123" t="n"/>
      <c r="U17" s="123" t="n"/>
      <c r="V17" s="123" t="n"/>
      <c r="W17" s="123" t="n"/>
      <c r="X17" s="123" t="n"/>
      <c r="Y17" s="123" t="n"/>
      <c r="Z17" s="123" t="n"/>
    </row>
    <row r="18" ht="134.25" customHeight="1" s="162">
      <c r="A18" s="159" t="n"/>
      <c r="B18" s="159" t="n"/>
      <c r="C18" s="159" t="n"/>
      <c r="D18" s="159" t="n"/>
      <c r="E18" s="159" t="n"/>
      <c r="F18" s="154" t="inlineStr">
        <is>
          <t>Pending</t>
        </is>
      </c>
      <c r="G18" s="154" t="n"/>
      <c r="H18" s="155" t="n"/>
      <c r="I18" s="154" t="inlineStr">
        <is>
          <t>Pending</t>
        </is>
      </c>
      <c r="J18" s="154" t="n"/>
      <c r="K18" s="155" t="n"/>
      <c r="L18" s="154" t="inlineStr">
        <is>
          <t>Pending</t>
        </is>
      </c>
      <c r="M18" s="153" t="n"/>
      <c r="N18" s="46" t="n"/>
      <c r="O18" s="155" t="n"/>
      <c r="P18" s="115" t="n"/>
      <c r="Q18" s="46" t="n"/>
      <c r="R18" s="46" t="n"/>
      <c r="S18" s="46" t="n"/>
      <c r="T18" s="46" t="n"/>
      <c r="U18" s="46" t="n"/>
      <c r="V18" s="46" t="n"/>
      <c r="W18" s="46" t="n"/>
      <c r="X18" s="46" t="n"/>
      <c r="Y18" s="46" t="n"/>
    </row>
    <row r="19" ht="99" customHeight="1" s="162">
      <c r="A19" s="159" t="n"/>
      <c r="B19" s="159" t="n"/>
      <c r="C19" s="159" t="n"/>
      <c r="D19" s="159" t="n"/>
      <c r="E19" s="159" t="n"/>
      <c r="F19" s="154" t="inlineStr">
        <is>
          <t>Pending</t>
        </is>
      </c>
      <c r="G19" s="154" t="n"/>
      <c r="H19" s="155" t="n"/>
      <c r="I19" s="154" t="inlineStr">
        <is>
          <t>Pending</t>
        </is>
      </c>
      <c r="J19" s="154" t="n"/>
      <c r="K19" s="155" t="n"/>
      <c r="L19" s="154" t="inlineStr">
        <is>
          <t>Pending</t>
        </is>
      </c>
      <c r="M19" s="153" t="n"/>
      <c r="N19" s="153" t="n"/>
      <c r="O19" s="155" t="n"/>
      <c r="P19" s="115" t="n"/>
      <c r="Q19" s="46" t="n"/>
      <c r="R19" s="46" t="n"/>
      <c r="S19" s="46" t="n"/>
      <c r="T19" s="46" t="n"/>
      <c r="U19" s="46" t="n"/>
      <c r="V19" s="46" t="n"/>
      <c r="W19" s="46" t="n"/>
      <c r="X19" s="46" t="n"/>
      <c r="Y19" s="46" t="n"/>
    </row>
    <row r="20" ht="149.25" customHeight="1" s="162">
      <c r="A20" s="159" t="n"/>
      <c r="B20" s="159" t="n"/>
      <c r="C20" s="159" t="n"/>
      <c r="D20" s="159" t="n"/>
      <c r="E20" s="159" t="n"/>
      <c r="F20" s="154" t="inlineStr">
        <is>
          <t>Pending</t>
        </is>
      </c>
      <c r="G20" s="154" t="n"/>
      <c r="H20" s="155" t="n"/>
      <c r="I20" s="154" t="inlineStr">
        <is>
          <t>Pending</t>
        </is>
      </c>
      <c r="J20" s="154" t="n"/>
      <c r="K20" s="155" t="n"/>
      <c r="L20" s="154" t="inlineStr">
        <is>
          <t>Pending</t>
        </is>
      </c>
      <c r="M20" s="153" t="n"/>
      <c r="N20" s="153" t="n"/>
      <c r="O20" s="155" t="n"/>
      <c r="P20" s="115" t="n"/>
      <c r="Q20" s="46" t="n"/>
      <c r="R20" s="46" t="n"/>
      <c r="S20" s="46" t="n"/>
      <c r="T20" s="46" t="n"/>
      <c r="U20" s="46" t="n"/>
      <c r="V20" s="46" t="n"/>
      <c r="W20" s="46" t="n"/>
      <c r="X20" s="46" t="n"/>
      <c r="Y20" s="46" t="n"/>
    </row>
    <row r="21" ht="12.75" customHeight="1" s="162">
      <c r="A21" s="46" t="n"/>
      <c r="B21" s="46" t="n"/>
      <c r="C21" s="46" t="n"/>
      <c r="D21" s="46" t="n"/>
      <c r="E21" s="46" t="n"/>
      <c r="F21" s="46" t="n"/>
      <c r="G21" s="46" t="n"/>
      <c r="H21" s="46" t="n"/>
      <c r="I21" s="46" t="n"/>
      <c r="J21" s="46" t="n"/>
      <c r="K21" s="46" t="n"/>
      <c r="L21" s="46" t="n"/>
      <c r="M21" s="46" t="n"/>
      <c r="N21" s="46" t="n"/>
      <c r="O21" s="46" t="n"/>
      <c r="P21" s="46" t="n"/>
      <c r="Q21" s="115" t="n"/>
      <c r="R21" s="46" t="n"/>
      <c r="S21" s="46" t="n"/>
      <c r="T21" s="46" t="n"/>
      <c r="U21" s="46" t="n"/>
      <c r="V21" s="46" t="n"/>
      <c r="W21" s="46" t="n"/>
      <c r="X21" s="46" t="n"/>
      <c r="Y21" s="46" t="n"/>
      <c r="Z21" s="46" t="n"/>
    </row>
    <row r="22" ht="12.75" customHeight="1" s="162">
      <c r="A22" s="46" t="n"/>
      <c r="B22" s="46" t="n"/>
      <c r="C22" s="46" t="n"/>
      <c r="D22" s="46" t="n"/>
      <c r="E22" s="46" t="n"/>
      <c r="F22" s="46" t="n"/>
      <c r="G22" s="46" t="n"/>
      <c r="H22" s="46" t="n"/>
      <c r="I22" s="46" t="n"/>
      <c r="J22" s="46" t="n"/>
      <c r="K22" s="46" t="n"/>
      <c r="L22" s="46" t="n"/>
      <c r="M22" s="46" t="n"/>
      <c r="N22" s="46" t="n"/>
      <c r="O22" s="46" t="n"/>
      <c r="P22" s="46" t="n"/>
      <c r="Q22" s="115" t="n"/>
      <c r="R22" s="46" t="n"/>
      <c r="S22" s="46" t="n"/>
      <c r="T22" s="46" t="n"/>
      <c r="U22" s="46" t="n"/>
      <c r="V22" s="46" t="n"/>
      <c r="W22" s="46" t="n"/>
      <c r="X22" s="46" t="n"/>
      <c r="Y22" s="46" t="n"/>
      <c r="Z22" s="46" t="n"/>
    </row>
    <row r="23" ht="12.75" customHeight="1" s="162">
      <c r="A23" s="46" t="n"/>
      <c r="B23" s="46" t="n"/>
      <c r="C23" s="46" t="n"/>
      <c r="D23" s="46" t="n"/>
      <c r="E23" s="46" t="n"/>
      <c r="F23" s="46" t="n"/>
      <c r="G23" s="46" t="n"/>
      <c r="H23" s="46" t="n"/>
      <c r="I23" s="46" t="n"/>
      <c r="J23" s="46" t="n"/>
      <c r="K23" s="46" t="n"/>
      <c r="L23" s="46" t="n"/>
      <c r="M23" s="46" t="n"/>
      <c r="N23" s="46" t="n"/>
      <c r="O23" s="46" t="n"/>
      <c r="P23" s="46" t="n"/>
      <c r="Q23" s="115" t="n"/>
      <c r="R23" s="46" t="n"/>
      <c r="S23" s="46" t="n"/>
      <c r="T23" s="46" t="n"/>
      <c r="U23" s="46" t="n"/>
      <c r="V23" s="46" t="n"/>
      <c r="W23" s="46" t="n"/>
      <c r="X23" s="46" t="n"/>
      <c r="Y23" s="46" t="n"/>
      <c r="Z23" s="46" t="n"/>
    </row>
    <row r="24" ht="12.75" customHeight="1" s="162">
      <c r="A24" s="46" t="n"/>
      <c r="B24" s="46" t="n"/>
      <c r="C24" s="46" t="n"/>
      <c r="D24" s="46" t="n"/>
      <c r="E24" s="46" t="n"/>
      <c r="F24" s="46" t="n"/>
      <c r="G24" s="46" t="n"/>
      <c r="H24" s="46" t="n"/>
      <c r="I24" s="46" t="n"/>
      <c r="J24" s="46" t="n"/>
      <c r="K24" s="46" t="n"/>
      <c r="L24" s="46" t="n"/>
      <c r="M24" s="46" t="n"/>
      <c r="N24" s="46" t="n"/>
      <c r="O24" s="46" t="n"/>
      <c r="P24" s="46" t="n"/>
      <c r="Q24" s="115" t="n"/>
      <c r="R24" s="46" t="n"/>
      <c r="S24" s="46" t="n"/>
      <c r="T24" s="46" t="n"/>
      <c r="U24" s="46" t="n"/>
      <c r="V24" s="46" t="n"/>
      <c r="W24" s="46" t="n"/>
      <c r="X24" s="46" t="n"/>
      <c r="Y24" s="46" t="n"/>
      <c r="Z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115"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115"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115"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115"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115"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115"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115"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115"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115"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115"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115"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115"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115"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115"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115"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115"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115"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115"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115"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115"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115"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115"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115"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115"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115"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115"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115"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115"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115"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115"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115"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115"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115"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115"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115"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115"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115"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115"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115"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115"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115"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115"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115"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115"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115"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115"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115"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115"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115"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115"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115"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115"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115"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115"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115"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115"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115"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115"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115"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115"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115"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115"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115"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115"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115"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115"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115"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115"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115"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115"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115"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115"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115"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115"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115"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115"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115"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115"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115"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115"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115"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115"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115"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115"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115"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115"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115"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115"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115"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115"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115"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115"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115"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115"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115"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115"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115"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115"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115"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115"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115"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115"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115"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115"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115"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115"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115"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115"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115"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115"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115"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115"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115"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115"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115"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115"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115"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115"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115"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115"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115"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115"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115"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115"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115"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115"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115"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115"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115"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115"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115"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115"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115"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115"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115"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115"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115"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115"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115"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115"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115"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115"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115"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115"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115"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115"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115"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115"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115"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115"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115"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115"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115"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115"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115"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115"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115"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115"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115"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115"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115"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115"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115"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115"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115"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115"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115"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115"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115"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115"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115"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115"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115"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115"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115"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115"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115"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115"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115"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115"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115"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115"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115"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115"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115"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115"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115"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115"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115"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115"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115"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115"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115"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115"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115"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115" t="n"/>
      <c r="R220" s="46" t="n"/>
      <c r="S220" s="46" t="n"/>
      <c r="T220" s="46" t="n"/>
      <c r="U220" s="46" t="n"/>
      <c r="V220" s="46" t="n"/>
      <c r="W220" s="46" t="n"/>
      <c r="X220" s="46" t="n"/>
      <c r="Y220" s="46" t="n"/>
      <c r="Z220" s="46" t="n"/>
    </row>
    <row r="221" ht="15.75" customHeight="1" s="162"/>
    <row r="222" ht="15.75" customHeight="1" s="162"/>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3">
    <mergeCell ref="B3:E3"/>
    <mergeCell ref="B2:E2"/>
    <mergeCell ref="B4:E4"/>
  </mergeCells>
  <dataValidations count="1">
    <dataValidation sqref="F12:F20 G2:G3 G9 G21:G145 I12:I20 J2:J3 J9 J21:J145 L12:L20 M2:M3 M9 M21:M145"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Z220"/>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62" min="1" max="1"/>
    <col width="34.5" customWidth="1" style="162" min="2" max="2"/>
    <col width="34.13" customWidth="1" style="162" min="3" max="3"/>
    <col width="34.63" customWidth="1" style="162" min="4" max="4"/>
    <col width="28.38" customWidth="1" style="162" min="5" max="5"/>
    <col width="9.380000000000001" customWidth="1" style="162" min="6" max="6"/>
    <col outlineLevel="1" width="10.63" customWidth="1" style="162" min="7" max="7"/>
    <col outlineLevel="1" width="7" customWidth="1" style="162" min="8" max="8"/>
    <col width="9.380000000000001" customWidth="1" style="162" min="9" max="9"/>
    <col outlineLevel="1" width="10.63" customWidth="1" style="162" min="10" max="10"/>
    <col outlineLevel="1" width="7" customWidth="1" style="162" min="11" max="11"/>
    <col width="9.380000000000001" customWidth="1" style="162" min="12" max="12"/>
    <col outlineLevel="1" width="10.63" customWidth="1" style="162" min="13" max="13"/>
    <col outlineLevel="1" width="7" customWidth="1" style="162" min="14" max="14"/>
    <col width="28.63" customWidth="1" style="162" min="15" max="15"/>
    <col width="10.13" customWidth="1" style="162" min="16" max="16"/>
    <col width="8.130000000000001" customWidth="1" style="162" min="17" max="17"/>
    <col hidden="1" width="7.63" customWidth="1" style="162" min="18" max="18"/>
    <col width="9" customWidth="1" style="162" min="19" max="26"/>
  </cols>
  <sheetData>
    <row r="1" ht="12.75" customHeight="1" s="162">
      <c r="A1" s="46" t="n"/>
      <c r="B1" s="46" t="n"/>
      <c r="C1" s="46" t="n"/>
      <c r="D1" s="46" t="n"/>
      <c r="E1" s="46" t="n"/>
      <c r="F1" s="46" t="n"/>
      <c r="G1" s="46" t="n"/>
      <c r="H1" s="46" t="n"/>
      <c r="I1" s="46" t="n"/>
      <c r="J1" s="46" t="n"/>
      <c r="K1" s="46" t="n"/>
      <c r="L1" s="46" t="n"/>
      <c r="M1" s="46" t="n"/>
      <c r="N1" s="46" t="n"/>
      <c r="O1" s="46" t="n"/>
      <c r="P1" s="46" t="n"/>
      <c r="Q1" s="115" t="n"/>
      <c r="R1" s="46" t="n"/>
      <c r="S1" s="46" t="n"/>
      <c r="T1" s="46" t="n"/>
      <c r="U1" s="46" t="n"/>
      <c r="V1" s="46" t="n"/>
      <c r="W1" s="46" t="n"/>
      <c r="X1" s="46" t="n"/>
      <c r="Y1" s="46" t="n"/>
      <c r="Z1" s="46" t="n"/>
    </row>
    <row r="2" ht="15" customHeight="1" s="162">
      <c r="A2" s="116" t="inlineStr">
        <is>
          <t>Workflow</t>
        </is>
      </c>
      <c r="B2" s="174" t="inlineStr">
        <is>
          <t>View Lab Queue</t>
        </is>
      </c>
      <c r="C2" s="175" t="n"/>
      <c r="D2" s="175" t="n"/>
      <c r="E2" s="176" t="n"/>
      <c r="F2" s="120" t="n"/>
      <c r="G2" s="121" t="n"/>
      <c r="H2" s="11" t="n"/>
      <c r="I2" s="120" t="n"/>
      <c r="J2" s="121" t="n"/>
      <c r="K2" s="11" t="n"/>
      <c r="L2" s="120" t="n"/>
      <c r="M2" s="121" t="n"/>
      <c r="N2" s="11" t="n"/>
      <c r="O2" s="11" t="n"/>
      <c r="P2" s="11" t="n"/>
      <c r="Q2" s="122" t="n"/>
      <c r="R2" s="123" t="inlineStr">
        <is>
          <t>Passed</t>
        </is>
      </c>
      <c r="S2" s="123" t="n"/>
      <c r="T2" s="123" t="n"/>
      <c r="U2" s="123" t="n"/>
      <c r="V2" s="123" t="n"/>
      <c r="W2" s="123" t="n"/>
      <c r="X2" s="123" t="n"/>
      <c r="Y2" s="123" t="n"/>
      <c r="Z2" s="123" t="n"/>
    </row>
    <row r="3" ht="12.75" customHeight="1" s="162">
      <c r="A3" s="124" t="inlineStr">
        <is>
          <t>Test requirement</t>
        </is>
      </c>
      <c r="B3" s="177" t="inlineStr">
        <is>
          <t>Verify Doctor can view and filter their created LabOrders. Lab Technician can view and filter requested LabOrders assigned to them</t>
        </is>
      </c>
      <c r="C3" s="164" t="n"/>
      <c r="D3" s="164" t="n"/>
      <c r="E3" s="178" t="n"/>
      <c r="F3" s="120" t="n"/>
      <c r="G3" s="121" t="n"/>
      <c r="H3" s="11" t="n"/>
      <c r="I3" s="120" t="n"/>
      <c r="J3" s="121" t="n"/>
      <c r="K3" s="11" t="n"/>
      <c r="L3" s="120" t="n"/>
      <c r="M3" s="121" t="n"/>
      <c r="N3" s="11" t="n"/>
      <c r="O3" s="11" t="n"/>
      <c r="P3" s="11" t="n"/>
      <c r="Q3" s="122" t="n"/>
      <c r="R3" s="123" t="inlineStr">
        <is>
          <t>Failed</t>
        </is>
      </c>
      <c r="S3" s="123" t="n"/>
      <c r="T3" s="123" t="n"/>
      <c r="U3" s="123" t="n"/>
      <c r="V3" s="123" t="n"/>
      <c r="W3" s="123" t="n"/>
      <c r="X3" s="123" t="n"/>
      <c r="Y3" s="123" t="n"/>
      <c r="Z3" s="123" t="n"/>
    </row>
    <row r="4" ht="18" customHeight="1" s="162">
      <c r="A4" s="124" t="inlineStr">
        <is>
          <t>Number of TCs</t>
        </is>
      </c>
      <c r="B4" s="177">
        <f>COUNTIF(A12:A1000,"TC_*")</f>
        <v/>
      </c>
      <c r="C4" s="164" t="n"/>
      <c r="D4" s="164" t="n"/>
      <c r="E4" s="178" t="n"/>
      <c r="F4" s="120" t="n"/>
      <c r="G4" s="121" t="n"/>
      <c r="H4" s="11" t="n"/>
      <c r="I4" s="120" t="n"/>
      <c r="J4" s="121" t="n"/>
      <c r="K4" s="11" t="n"/>
      <c r="L4" s="120" t="n"/>
      <c r="M4" s="121" t="n"/>
      <c r="N4" s="11" t="n"/>
      <c r="O4" s="11" t="n"/>
      <c r="P4" s="11" t="n"/>
      <c r="Q4" s="122" t="n"/>
      <c r="R4" s="123" t="inlineStr">
        <is>
          <t>Pending</t>
        </is>
      </c>
      <c r="S4" s="123" t="n"/>
      <c r="T4" s="123" t="n"/>
      <c r="U4" s="123" t="n"/>
      <c r="V4" s="123" t="n"/>
      <c r="W4" s="123" t="n"/>
      <c r="X4" s="123" t="n"/>
      <c r="Y4" s="123" t="n"/>
      <c r="Z4" s="123" t="n"/>
    </row>
    <row r="5" ht="19.5" customHeight="1" s="162">
      <c r="A5" s="127" t="inlineStr">
        <is>
          <t>Testing Round</t>
        </is>
      </c>
      <c r="B5" s="128" t="inlineStr">
        <is>
          <t>Passed</t>
        </is>
      </c>
      <c r="C5" s="128" t="inlineStr">
        <is>
          <t>Failed</t>
        </is>
      </c>
      <c r="D5" s="128" t="inlineStr">
        <is>
          <t>Pending</t>
        </is>
      </c>
      <c r="E5" s="129" t="inlineStr">
        <is>
          <t>N/A</t>
        </is>
      </c>
      <c r="F5" s="130" t="n"/>
      <c r="G5" s="130" t="n"/>
      <c r="H5" s="131" t="n"/>
      <c r="I5" s="130" t="n"/>
      <c r="J5" s="130" t="n"/>
      <c r="K5" s="131" t="n"/>
      <c r="L5" s="130" t="n"/>
      <c r="M5" s="130" t="n"/>
      <c r="N5" s="131" t="n"/>
      <c r="O5" s="131" t="n"/>
      <c r="P5" s="131" t="n"/>
      <c r="Q5" s="132" t="n"/>
      <c r="R5" s="123" t="inlineStr">
        <is>
          <t>N/A</t>
        </is>
      </c>
      <c r="S5" s="123" t="n"/>
      <c r="T5" s="123" t="n"/>
      <c r="U5" s="123" t="n"/>
      <c r="V5" s="123" t="n"/>
      <c r="W5" s="123" t="n"/>
      <c r="X5" s="123" t="n"/>
      <c r="Y5" s="123" t="n"/>
      <c r="Z5" s="123" t="n"/>
    </row>
    <row r="6" ht="15" customHeight="1" s="162">
      <c r="A6" s="127" t="inlineStr">
        <is>
          <t>Round 1</t>
        </is>
      </c>
      <c r="B6" s="133">
        <f>COUNTIF($F10:$F996,B5)</f>
        <v/>
      </c>
      <c r="C6" s="133">
        <f>COUNTIF($F10:$F996,C5)</f>
        <v/>
      </c>
      <c r="D6" s="133">
        <f>COUNTIF($F10:$F996,D5)</f>
        <v/>
      </c>
      <c r="E6" s="134">
        <f>COUNTIF($F10:$F996,E5)</f>
        <v/>
      </c>
      <c r="F6" s="135" t="n"/>
      <c r="G6" s="135" t="n"/>
      <c r="H6" s="131" t="n"/>
      <c r="I6" s="135" t="n"/>
      <c r="J6" s="135" t="n"/>
      <c r="K6" s="131" t="n"/>
      <c r="L6" s="135" t="n"/>
      <c r="M6" s="135" t="n"/>
      <c r="N6" s="131" t="n"/>
      <c r="O6" s="131" t="n"/>
      <c r="P6" s="131" t="n"/>
      <c r="Q6" s="132" t="n"/>
      <c r="R6" s="123" t="n"/>
      <c r="S6" s="123" t="n"/>
      <c r="T6" s="123" t="n"/>
      <c r="U6" s="123" t="n"/>
      <c r="V6" s="123" t="n"/>
      <c r="W6" s="123" t="n"/>
      <c r="X6" s="123" t="n"/>
      <c r="Y6" s="123" t="n"/>
      <c r="Z6" s="123" t="n"/>
    </row>
    <row r="7" ht="15" customHeight="1" s="162">
      <c r="A7" s="127" t="inlineStr">
        <is>
          <t>Round 2</t>
        </is>
      </c>
      <c r="B7" s="133">
        <f>COUNTIF($F10:$F996,B5)</f>
        <v/>
      </c>
      <c r="C7" s="133">
        <f>COUNTIF($F10:$F996,C5)</f>
        <v/>
      </c>
      <c r="D7" s="133">
        <f>COUNTIF($F10:$F996,D5)</f>
        <v/>
      </c>
      <c r="E7" s="134">
        <f>COUNTIF($F10:$F996,E5)</f>
        <v/>
      </c>
      <c r="F7" s="135" t="n"/>
      <c r="G7" s="135" t="n"/>
      <c r="H7" s="131" t="n"/>
      <c r="I7" s="135" t="n"/>
      <c r="J7" s="135" t="n"/>
      <c r="K7" s="131" t="n"/>
      <c r="L7" s="135" t="n"/>
      <c r="M7" s="135" t="n"/>
      <c r="N7" s="131" t="n"/>
      <c r="O7" s="131" t="n"/>
      <c r="P7" s="131" t="n"/>
      <c r="Q7" s="132" t="n"/>
      <c r="R7" s="123" t="n"/>
      <c r="S7" s="123" t="n"/>
      <c r="T7" s="123" t="n"/>
      <c r="U7" s="123" t="n"/>
      <c r="V7" s="123" t="n"/>
      <c r="W7" s="123" t="n"/>
      <c r="X7" s="123" t="n"/>
      <c r="Y7" s="123" t="n"/>
      <c r="Z7" s="123" t="n"/>
    </row>
    <row r="8" ht="15" customHeight="1" s="162">
      <c r="A8" s="136" t="inlineStr">
        <is>
          <t>Round 3</t>
        </is>
      </c>
      <c r="B8" s="137">
        <f>COUNTIF($F10:$F996,B5)</f>
        <v/>
      </c>
      <c r="C8" s="137">
        <f>COUNTIF($F10:$F996,C5)</f>
        <v/>
      </c>
      <c r="D8" s="137">
        <f>COUNTIF($F10:$F996,D5)</f>
        <v/>
      </c>
      <c r="E8" s="138">
        <f>COUNTIF($F10:$F996,E5)</f>
        <v/>
      </c>
      <c r="F8" s="135" t="n"/>
      <c r="G8" s="135" t="n"/>
      <c r="H8" s="131" t="n"/>
      <c r="I8" s="135" t="n"/>
      <c r="J8" s="135" t="n"/>
      <c r="K8" s="131" t="n"/>
      <c r="L8" s="135" t="n"/>
      <c r="M8" s="135" t="n"/>
      <c r="N8" s="131" t="n"/>
      <c r="O8" s="131" t="n"/>
      <c r="P8" s="131" t="n"/>
      <c r="Q8" s="132" t="n"/>
      <c r="R8" s="123" t="n"/>
      <c r="S8" s="123" t="n"/>
      <c r="T8" s="123" t="n"/>
      <c r="U8" s="123" t="n"/>
      <c r="V8" s="123" t="n"/>
      <c r="W8" s="123" t="n"/>
      <c r="X8" s="123" t="n"/>
      <c r="Y8" s="123" t="n"/>
      <c r="Z8" s="123" t="n"/>
    </row>
    <row r="9" ht="15" customHeight="1" s="162">
      <c r="A9" s="131" t="n"/>
      <c r="B9" s="131" t="n"/>
      <c r="C9" s="131" t="n"/>
      <c r="D9" s="131" t="n"/>
      <c r="E9" s="131" t="n"/>
      <c r="F9" s="114" t="n"/>
      <c r="G9" s="131" t="n"/>
      <c r="H9" s="131" t="n"/>
      <c r="I9" s="114" t="n"/>
      <c r="J9" s="131" t="n"/>
      <c r="K9" s="131" t="n"/>
      <c r="L9" s="114" t="n"/>
      <c r="M9" s="131" t="n"/>
      <c r="N9" s="131" t="n"/>
      <c r="O9" s="131" t="n"/>
      <c r="P9" s="131" t="n"/>
      <c r="Q9" s="132" t="n"/>
      <c r="R9" s="123" t="n"/>
      <c r="S9" s="123" t="n"/>
      <c r="T9" s="123" t="n"/>
      <c r="U9" s="123" t="n"/>
      <c r="V9" s="123" t="n"/>
      <c r="W9" s="123" t="n"/>
      <c r="X9" s="123" t="n"/>
      <c r="Y9" s="123" t="n"/>
      <c r="Z9" s="123" t="n"/>
    </row>
    <row r="10" ht="25.5" customHeight="1" s="162">
      <c r="A10" s="139" t="inlineStr">
        <is>
          <t>Test Case ID</t>
        </is>
      </c>
      <c r="B10" s="139" t="inlineStr">
        <is>
          <t>Test Case Description</t>
        </is>
      </c>
      <c r="C10" s="139" t="inlineStr">
        <is>
          <t>Test Case Procedure</t>
        </is>
      </c>
      <c r="D10" s="139" t="inlineStr">
        <is>
          <t>Expected Results</t>
        </is>
      </c>
      <c r="E10" s="139" t="inlineStr">
        <is>
          <t>Pre-conditions</t>
        </is>
      </c>
      <c r="F10" s="139" t="inlineStr">
        <is>
          <t>Round 1</t>
        </is>
      </c>
      <c r="G10" s="139" t="inlineStr">
        <is>
          <t>Test date</t>
        </is>
      </c>
      <c r="H10" s="139" t="inlineStr">
        <is>
          <t>Tester</t>
        </is>
      </c>
      <c r="I10" s="139" t="inlineStr">
        <is>
          <t>Round 2</t>
        </is>
      </c>
      <c r="J10" s="139" t="inlineStr">
        <is>
          <t>Test date</t>
        </is>
      </c>
      <c r="K10" s="139" t="inlineStr">
        <is>
          <t>Tester</t>
        </is>
      </c>
      <c r="L10" s="139" t="inlineStr">
        <is>
          <t>Round 3</t>
        </is>
      </c>
      <c r="M10" s="139" t="inlineStr">
        <is>
          <t>Test date</t>
        </is>
      </c>
      <c r="N10" s="139" t="inlineStr">
        <is>
          <t>Tester</t>
        </is>
      </c>
      <c r="O10" s="139" t="inlineStr">
        <is>
          <t>Note</t>
        </is>
      </c>
      <c r="P10" s="123" t="n"/>
      <c r="Q10" s="140" t="n"/>
      <c r="R10" s="123" t="n"/>
      <c r="S10" s="123" t="n"/>
      <c r="T10" s="123" t="n"/>
      <c r="U10" s="123" t="n"/>
      <c r="V10" s="123" t="n"/>
      <c r="W10" s="123" t="n"/>
      <c r="X10" s="123" t="n"/>
      <c r="Y10" s="123" t="n"/>
      <c r="Z10" s="123" t="n"/>
    </row>
    <row r="11" ht="15.75" customHeight="1" s="162">
      <c r="A11" s="158" t="inlineStr">
        <is>
          <t>Scenario A</t>
        </is>
      </c>
      <c r="B11" s="158" t="inlineStr">
        <is>
          <t>Browsing Lab Order List</t>
        </is>
      </c>
      <c r="C11" s="142" t="n"/>
      <c r="D11" s="142" t="n"/>
      <c r="E11" s="142" t="n"/>
      <c r="F11" s="142" t="n"/>
      <c r="G11" s="142" t="n"/>
      <c r="H11" s="142" t="n"/>
      <c r="I11" s="142" t="n"/>
      <c r="J11" s="142" t="n"/>
      <c r="K11" s="142" t="n"/>
      <c r="L11" s="142" t="n"/>
      <c r="M11" s="142" t="n"/>
      <c r="N11" s="142" t="n"/>
      <c r="O11" s="143" t="n"/>
      <c r="P11" s="123" t="n"/>
      <c r="Q11" s="144" t="n"/>
      <c r="R11" s="123" t="n"/>
      <c r="S11" s="123" t="n"/>
      <c r="T11" s="123" t="n"/>
      <c r="U11" s="123" t="n"/>
      <c r="V11" s="123" t="n"/>
      <c r="W11" s="123" t="n"/>
      <c r="X11" s="123" t="n"/>
      <c r="Y11" s="123" t="n"/>
      <c r="Z11" s="123" t="n"/>
    </row>
    <row r="12" outlineLevel="1" ht="150" customHeight="1" s="162">
      <c r="A12" s="159" t="inlineStr">
        <is>
          <t>TC_LQ_001</t>
        </is>
      </c>
      <c r="B12" s="159" t="inlineStr">
        <is>
          <t>Doctor views their created LabOrders list</t>
        </is>
      </c>
      <c r="C12" s="159" t="inlineStr">
        <is>
          <t>1. Navigate to the 'LabOrder Queue' page
2. Observe the list displayed</t>
        </is>
      </c>
      <c r="D12" s="159" t="inlineStr">
        <is>
          <t>1. The page lists all LabOrders created by this doctor
2. Information includes: Patient Name, Issued Time, Current Status</t>
        </is>
      </c>
      <c r="E12" s="160" t="inlineStr">
        <is>
          <t>1. Doctor is logged in
2. Doctor has created multiple LabOrders in the system</t>
        </is>
      </c>
      <c r="F12" s="155" t="inlineStr">
        <is>
          <t>Pending</t>
        </is>
      </c>
      <c r="G12" s="155" t="n"/>
      <c r="H12" s="155" t="n"/>
      <c r="I12" s="155" t="inlineStr">
        <is>
          <t>Pending</t>
        </is>
      </c>
      <c r="J12" s="155" t="n"/>
      <c r="K12" s="155" t="n"/>
      <c r="L12" s="155" t="inlineStr">
        <is>
          <t>Pending</t>
        </is>
      </c>
      <c r="M12" s="155" t="n"/>
      <c r="N12" s="155" t="n"/>
      <c r="O12" s="155" t="n"/>
      <c r="P12" s="148" t="n"/>
      <c r="Q12" s="149" t="n"/>
      <c r="R12" s="148" t="n"/>
      <c r="S12" s="148" t="n"/>
      <c r="T12" s="148" t="n"/>
      <c r="U12" s="148" t="n"/>
      <c r="V12" s="148" t="n"/>
      <c r="W12" s="148" t="n"/>
      <c r="X12" s="148" t="n"/>
      <c r="Y12" s="148" t="n"/>
      <c r="Z12" s="148" t="n"/>
    </row>
    <row r="13" outlineLevel="1" ht="141" customHeight="1" s="162">
      <c r="A13" s="159" t="inlineStr">
        <is>
          <t>TC_LQ_002</t>
        </is>
      </c>
      <c r="B13" s="159" t="inlineStr">
        <is>
          <t>Lab Technician views assigned LabOrders queue</t>
        </is>
      </c>
      <c r="C13" s="159" t="inlineStr">
        <is>
          <t>1. Navigate to the 'Lab Queue' page
2. Observe the pending LabOrder list</t>
        </is>
      </c>
      <c r="D13" s="159" t="inlineStr">
        <is>
          <t>1. The list displays all LabOrders assigned to the technician
2. Orders are listed in chronological order (Oldest First)</t>
        </is>
      </c>
      <c r="E13" s="159" t="inlineStr">
        <is>
          <t>1. Lab Technician is logged in
2. Multiple LabOrders have been assigned to him</t>
        </is>
      </c>
      <c r="F13" s="155" t="inlineStr">
        <is>
          <t>Pending</t>
        </is>
      </c>
      <c r="G13" s="155" t="n"/>
      <c r="H13" s="155" t="n"/>
      <c r="I13" s="155" t="inlineStr">
        <is>
          <t>Pending</t>
        </is>
      </c>
      <c r="J13" s="155" t="n"/>
      <c r="K13" s="155" t="n"/>
      <c r="L13" s="155" t="inlineStr">
        <is>
          <t>Pending</t>
        </is>
      </c>
      <c r="M13" s="155" t="n"/>
      <c r="N13" s="155" t="n"/>
      <c r="O13" s="155" t="n"/>
      <c r="P13" s="148" t="n"/>
      <c r="Q13" s="149" t="n"/>
      <c r="R13" s="148" t="n"/>
      <c r="S13" s="148" t="n"/>
      <c r="T13" s="148" t="n"/>
      <c r="U13" s="148" t="n"/>
      <c r="V13" s="148" t="n"/>
      <c r="W13" s="148" t="n"/>
      <c r="X13" s="148" t="n"/>
      <c r="Y13" s="148" t="n"/>
      <c r="Z13" s="148" t="n"/>
    </row>
    <row r="14" ht="15.75" customHeight="1" s="162">
      <c r="A14" s="158" t="inlineStr">
        <is>
          <t>Scenario B</t>
        </is>
      </c>
      <c r="B14" s="161" t="inlineStr">
        <is>
          <t>Filter Lab Orders</t>
        </is>
      </c>
      <c r="C14" s="151" t="n"/>
      <c r="D14" s="151" t="n"/>
      <c r="E14" s="151" t="n"/>
      <c r="F14" s="151" t="n"/>
      <c r="G14" s="151" t="n"/>
      <c r="H14" s="151" t="n"/>
      <c r="I14" s="151" t="n"/>
      <c r="J14" s="151" t="n"/>
      <c r="K14" s="151" t="n"/>
      <c r="L14" s="151" t="n"/>
      <c r="M14" s="151" t="n"/>
      <c r="N14" s="151" t="n"/>
      <c r="O14" s="152" t="n"/>
      <c r="P14" s="123" t="n"/>
      <c r="Q14" s="144" t="n"/>
      <c r="R14" s="123" t="n"/>
      <c r="S14" s="123" t="n"/>
      <c r="T14" s="123" t="n"/>
      <c r="U14" s="123" t="n"/>
      <c r="V14" s="123" t="n"/>
      <c r="W14" s="123" t="n"/>
      <c r="X14" s="123" t="n"/>
      <c r="Y14" s="123" t="n"/>
      <c r="Z14" s="123" t="n"/>
    </row>
    <row r="15" outlineLevel="1" ht="79.5" customHeight="1" s="162">
      <c r="A15" s="159" t="inlineStr">
        <is>
          <t>TC_LQ_003</t>
        </is>
      </c>
      <c r="B15" s="159" t="inlineStr">
        <is>
          <t>Doctor filters LabOrders by status</t>
        </is>
      </c>
      <c r="C15" s="159" t="inlineStr">
        <is>
          <t>1. Select the tab 'SUBMITTED'</t>
        </is>
      </c>
      <c r="D15" s="159" t="inlineStr">
        <is>
          <t>1. The list displays only LabOrders with status 'SUBMITTED'</t>
        </is>
      </c>
      <c r="E15" s="159" t="inlineStr">
        <is>
          <t>1. Doctor is on the LabOrder Queue page</t>
        </is>
      </c>
      <c r="F15" s="155" t="inlineStr">
        <is>
          <t>Pending</t>
        </is>
      </c>
      <c r="G15" s="155" t="n"/>
      <c r="H15" s="155" t="n"/>
      <c r="I15" s="155" t="inlineStr">
        <is>
          <t>Pending</t>
        </is>
      </c>
      <c r="J15" s="155" t="n"/>
      <c r="K15" s="155" t="n"/>
      <c r="L15" s="155" t="inlineStr">
        <is>
          <t>Pending</t>
        </is>
      </c>
      <c r="M15" s="155" t="n"/>
      <c r="N15" s="155" t="n"/>
      <c r="O15" s="155" t="n"/>
      <c r="P15" s="46" t="n"/>
      <c r="Q15" s="149" t="n"/>
      <c r="R15" s="46" t="n"/>
      <c r="S15" s="46" t="n"/>
      <c r="T15" s="46" t="n"/>
      <c r="U15" s="46" t="n"/>
      <c r="V15" s="46" t="n"/>
      <c r="W15" s="46" t="n"/>
      <c r="X15" s="46" t="n"/>
      <c r="Y15" s="46" t="n"/>
      <c r="Z15" s="46" t="n"/>
    </row>
    <row r="16" outlineLevel="1" ht="78.75" customHeight="1" s="162">
      <c r="A16" s="159" t="inlineStr">
        <is>
          <t>TC_LQ_004</t>
        </is>
      </c>
      <c r="B16" s="159" t="inlineStr">
        <is>
          <t>Lab Technician filters LabOrders by status</t>
        </is>
      </c>
      <c r="C16" s="159" t="inlineStr">
        <is>
          <t>1. Select the tab 'IN_PROGRESS'</t>
        </is>
      </c>
      <c r="D16" s="159" t="inlineStr">
        <is>
          <t>1. The list displays only LabOrders with status 'IN_PROGRESS'</t>
        </is>
      </c>
      <c r="E16" s="159" t="inlineStr">
        <is>
          <t>1. Lab Technician is on the LabOrder Queue page</t>
        </is>
      </c>
      <c r="F16" s="155" t="inlineStr">
        <is>
          <t>Pending</t>
        </is>
      </c>
      <c r="G16" s="153" t="n"/>
      <c r="H16" s="153" t="n"/>
      <c r="I16" s="155" t="inlineStr">
        <is>
          <t>Pending</t>
        </is>
      </c>
      <c r="J16" s="153" t="n"/>
      <c r="K16" s="153" t="n"/>
      <c r="L16" s="155" t="inlineStr">
        <is>
          <t>Pending</t>
        </is>
      </c>
      <c r="M16" s="153" t="n"/>
      <c r="N16" s="153" t="n"/>
      <c r="O16" s="153" t="n"/>
      <c r="P16" s="46" t="n"/>
      <c r="Q16" s="115" t="n"/>
      <c r="R16" s="46" t="n"/>
      <c r="S16" s="46" t="n"/>
      <c r="T16" s="46" t="n"/>
      <c r="U16" s="46" t="n"/>
      <c r="V16" s="46" t="n"/>
      <c r="W16" s="46" t="n"/>
      <c r="X16" s="46" t="n"/>
      <c r="Y16" s="46" t="n"/>
      <c r="Z16" s="46" t="n"/>
    </row>
    <row r="17" ht="15.75" customHeight="1" s="162">
      <c r="A17" s="158" t="inlineStr">
        <is>
          <t>Scenario C</t>
        </is>
      </c>
      <c r="B17" s="161" t="inlineStr">
        <is>
          <t>Verify real-time refresh</t>
        </is>
      </c>
      <c r="C17" s="151" t="n"/>
      <c r="D17" s="151" t="n"/>
      <c r="E17" s="151" t="n"/>
      <c r="F17" s="151" t="n"/>
      <c r="G17" s="151" t="n"/>
      <c r="H17" s="151" t="n"/>
      <c r="I17" s="151" t="n"/>
      <c r="J17" s="151" t="n"/>
      <c r="K17" s="151" t="n"/>
      <c r="L17" s="151" t="n"/>
      <c r="M17" s="151" t="n"/>
      <c r="N17" s="151" t="n"/>
      <c r="O17" s="152" t="n"/>
      <c r="P17" s="123" t="n"/>
      <c r="Q17" s="144" t="n"/>
      <c r="R17" s="123" t="n"/>
      <c r="S17" s="123" t="n"/>
      <c r="T17" s="123" t="n"/>
      <c r="U17" s="123" t="n"/>
      <c r="V17" s="123" t="n"/>
      <c r="W17" s="123" t="n"/>
      <c r="X17" s="123" t="n"/>
      <c r="Y17" s="123" t="n"/>
      <c r="Z17" s="123" t="n"/>
    </row>
    <row r="18" ht="134.25" customHeight="1" s="162">
      <c r="A18" s="159" t="inlineStr">
        <is>
          <t>TC_LQ_005</t>
        </is>
      </c>
      <c r="B18" s="159" t="inlineStr">
        <is>
          <t>Verify real-time queue refresh on order creation</t>
        </is>
      </c>
      <c r="C18" s="159" t="inlineStr">
        <is>
          <t>1. A doctor submits a new LabOrder
2. Observe the queue without reloading the browser</t>
        </is>
      </c>
      <c r="D18" s="159" t="inlineStr">
        <is>
          <t>1. The new LabOrder appears in the queue dynamically via real-time WebSocket connection within 5 seconds</t>
        </is>
      </c>
      <c r="E18" s="156" t="inlineStr">
        <is>
          <t>1. A doctor submits a new LabOrder
2. Observe the queue without reloading the browser</t>
        </is>
      </c>
      <c r="F18" s="154" t="inlineStr">
        <is>
          <t>Pending</t>
        </is>
      </c>
      <c r="G18" s="154" t="n"/>
      <c r="H18" s="155" t="n"/>
      <c r="I18" s="154" t="inlineStr">
        <is>
          <t>Pending</t>
        </is>
      </c>
      <c r="J18" s="154" t="n"/>
      <c r="K18" s="155" t="n"/>
      <c r="L18" s="154" t="inlineStr">
        <is>
          <t>Pending</t>
        </is>
      </c>
      <c r="M18" s="153" t="n"/>
      <c r="N18" s="46" t="n"/>
      <c r="O18" s="155" t="n"/>
      <c r="P18" s="115" t="n"/>
      <c r="Q18" s="46" t="n"/>
      <c r="R18" s="46" t="n"/>
      <c r="S18" s="46" t="n"/>
      <c r="T18" s="46" t="n"/>
      <c r="U18" s="46" t="n"/>
      <c r="V18" s="46" t="n"/>
      <c r="W18" s="46" t="n"/>
      <c r="X18" s="46" t="n"/>
      <c r="Y18" s="46" t="n"/>
    </row>
    <row r="19" ht="99" customHeight="1" s="162">
      <c r="A19" s="159" t="n"/>
      <c r="B19" s="159" t="n"/>
      <c r="C19" s="159" t="n"/>
      <c r="E19" s="159" t="n"/>
      <c r="F19" s="154" t="inlineStr">
        <is>
          <t>Pending</t>
        </is>
      </c>
      <c r="G19" s="154" t="n"/>
      <c r="H19" s="155" t="n"/>
      <c r="I19" s="154" t="inlineStr">
        <is>
          <t>Pending</t>
        </is>
      </c>
      <c r="J19" s="154" t="n"/>
      <c r="K19" s="155" t="n"/>
      <c r="L19" s="154" t="inlineStr">
        <is>
          <t>Pending</t>
        </is>
      </c>
      <c r="M19" s="153" t="n"/>
      <c r="N19" s="153" t="n"/>
      <c r="O19" s="155" t="n"/>
      <c r="P19" s="115" t="n"/>
      <c r="Q19" s="46" t="n"/>
      <c r="R19" s="46" t="n"/>
      <c r="S19" s="46" t="n"/>
      <c r="T19" s="46" t="n"/>
      <c r="U19" s="46" t="n"/>
      <c r="V19" s="46" t="n"/>
      <c r="W19" s="46" t="n"/>
      <c r="X19" s="46" t="n"/>
      <c r="Y19" s="46" t="n"/>
    </row>
    <row r="20" ht="149.25" customHeight="1" s="162">
      <c r="A20" s="159" t="n"/>
      <c r="B20" s="159" t="n"/>
      <c r="C20" s="159" t="n"/>
      <c r="E20" s="159" t="n"/>
      <c r="F20" s="154" t="inlineStr">
        <is>
          <t>Pending</t>
        </is>
      </c>
      <c r="G20" s="154" t="n"/>
      <c r="H20" s="155" t="n"/>
      <c r="I20" s="154" t="inlineStr">
        <is>
          <t>Pending</t>
        </is>
      </c>
      <c r="J20" s="154" t="n"/>
      <c r="K20" s="155" t="n"/>
      <c r="L20" s="154" t="inlineStr">
        <is>
          <t>Pending</t>
        </is>
      </c>
      <c r="M20" s="153" t="n"/>
      <c r="N20" s="153" t="n"/>
      <c r="O20" s="155" t="n"/>
      <c r="P20" s="115" t="n"/>
      <c r="Q20" s="46" t="n"/>
      <c r="R20" s="46" t="n"/>
      <c r="S20" s="46" t="n"/>
      <c r="T20" s="46" t="n"/>
      <c r="U20" s="46" t="n"/>
      <c r="V20" s="46" t="n"/>
      <c r="W20" s="46" t="n"/>
      <c r="X20" s="46" t="n"/>
      <c r="Y20" s="46" t="n"/>
    </row>
    <row r="21" ht="12.75" customHeight="1" s="162">
      <c r="A21" s="46" t="n"/>
      <c r="B21" s="46" t="n"/>
      <c r="C21" s="46" t="n"/>
      <c r="D21" s="46" t="n"/>
      <c r="E21" s="46" t="n"/>
      <c r="F21" s="46" t="n"/>
      <c r="G21" s="46" t="n"/>
      <c r="H21" s="46" t="n"/>
      <c r="I21" s="46" t="n"/>
      <c r="J21" s="46" t="n"/>
      <c r="K21" s="46" t="n"/>
      <c r="L21" s="46" t="n"/>
      <c r="M21" s="46" t="n"/>
      <c r="N21" s="46" t="n"/>
      <c r="O21" s="46" t="n"/>
      <c r="P21" s="46" t="n"/>
      <c r="Q21" s="115" t="n"/>
      <c r="R21" s="46" t="n"/>
      <c r="S21" s="46" t="n"/>
      <c r="T21" s="46" t="n"/>
      <c r="U21" s="46" t="n"/>
      <c r="V21" s="46" t="n"/>
      <c r="W21" s="46" t="n"/>
      <c r="X21" s="46" t="n"/>
      <c r="Y21" s="46" t="n"/>
      <c r="Z21" s="46" t="n"/>
    </row>
    <row r="22" ht="12.75" customHeight="1" s="162">
      <c r="A22" s="46" t="n"/>
      <c r="B22" s="46" t="n"/>
      <c r="C22" s="46" t="n"/>
      <c r="D22" s="46" t="n"/>
      <c r="E22" s="46" t="n"/>
      <c r="F22" s="46" t="n"/>
      <c r="G22" s="46" t="n"/>
      <c r="H22" s="46" t="n"/>
      <c r="I22" s="46" t="n"/>
      <c r="J22" s="46" t="n"/>
      <c r="K22" s="46" t="n"/>
      <c r="L22" s="46" t="n"/>
      <c r="M22" s="46" t="n"/>
      <c r="N22" s="46" t="n"/>
      <c r="O22" s="46" t="n"/>
      <c r="P22" s="46" t="n"/>
      <c r="Q22" s="115" t="n"/>
      <c r="R22" s="46" t="n"/>
      <c r="S22" s="46" t="n"/>
      <c r="T22" s="46" t="n"/>
      <c r="U22" s="46" t="n"/>
      <c r="V22" s="46" t="n"/>
      <c r="W22" s="46" t="n"/>
      <c r="X22" s="46" t="n"/>
      <c r="Y22" s="46" t="n"/>
      <c r="Z22" s="46" t="n"/>
    </row>
    <row r="23" ht="12.75" customHeight="1" s="162">
      <c r="A23" s="46" t="n"/>
      <c r="B23" s="46" t="n"/>
      <c r="C23" s="46" t="n"/>
      <c r="D23" s="46" t="n"/>
      <c r="E23" s="46" t="n"/>
      <c r="F23" s="46" t="n"/>
      <c r="G23" s="46" t="n"/>
      <c r="H23" s="46" t="n"/>
      <c r="I23" s="46" t="n"/>
      <c r="J23" s="46" t="n"/>
      <c r="K23" s="46" t="n"/>
      <c r="L23" s="46" t="n"/>
      <c r="M23" s="46" t="n"/>
      <c r="N23" s="46" t="n"/>
      <c r="O23" s="46" t="n"/>
      <c r="P23" s="46" t="n"/>
      <c r="Q23" s="115" t="n"/>
      <c r="R23" s="46" t="n"/>
      <c r="S23" s="46" t="n"/>
      <c r="T23" s="46" t="n"/>
      <c r="U23" s="46" t="n"/>
      <c r="V23" s="46" t="n"/>
      <c r="W23" s="46" t="n"/>
      <c r="X23" s="46" t="n"/>
      <c r="Y23" s="46" t="n"/>
      <c r="Z23" s="46" t="n"/>
    </row>
    <row r="24" ht="12.75" customHeight="1" s="162">
      <c r="A24" s="46" t="n"/>
      <c r="B24" s="46" t="n"/>
      <c r="C24" s="46" t="n"/>
      <c r="D24" s="46" t="n"/>
      <c r="E24" s="46" t="n"/>
      <c r="F24" s="46" t="n"/>
      <c r="G24" s="46" t="n"/>
      <c r="H24" s="46" t="n"/>
      <c r="I24" s="46" t="n"/>
      <c r="J24" s="46" t="n"/>
      <c r="K24" s="46" t="n"/>
      <c r="L24" s="46" t="n"/>
      <c r="M24" s="46" t="n"/>
      <c r="N24" s="46" t="n"/>
      <c r="O24" s="46" t="n"/>
      <c r="P24" s="46" t="n"/>
      <c r="Q24" s="115" t="n"/>
      <c r="R24" s="46" t="n"/>
      <c r="S24" s="46" t="n"/>
      <c r="T24" s="46" t="n"/>
      <c r="U24" s="46" t="n"/>
      <c r="V24" s="46" t="n"/>
      <c r="W24" s="46" t="n"/>
      <c r="X24" s="46" t="n"/>
      <c r="Y24" s="46" t="n"/>
      <c r="Z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115"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115"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115"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115"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115"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115"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115"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115"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115"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115"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115"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115"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115"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115"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115"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115"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115"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115"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115"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115"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115"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115"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115"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115"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115"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115"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115"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115"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115"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115"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115"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115"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115"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115"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115"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115"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115"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115"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115"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115"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115"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115"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115"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115"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115"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115"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115"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115"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115"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115"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115"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115"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115"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115"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115"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115"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115"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115"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115"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115"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115"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115"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115"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115"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115"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115"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115"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115"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115"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115"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115"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115"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115"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115"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115"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115"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115"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115"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115"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115"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115"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115"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115"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115"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115"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115"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115"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115"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115"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115"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115"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115"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115"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115"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115"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115"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115"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115"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115"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115"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115"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115"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115"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115"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115"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115"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115"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115"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115"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115"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115"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115"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115"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115"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115"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115"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115"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115"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115"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115"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115"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115"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115"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115"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115"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115"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115"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115"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115"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115"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115"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115"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115"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115"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115"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115"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115"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115"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115"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115"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115"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115"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115"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115"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115"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115"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115"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115"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115"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115"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115"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115"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115"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115"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115"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115"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115"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115"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115"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115"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115"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115"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115"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115"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115"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115"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115"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115"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115"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115"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115"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115"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115"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115"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115"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115"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115"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115"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115"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115"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115"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115"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115"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115"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115"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115"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115"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115"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115"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115"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115"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115"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115"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115"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115"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115" t="n"/>
      <c r="R220" s="46" t="n"/>
      <c r="S220" s="46" t="n"/>
      <c r="T220" s="46" t="n"/>
      <c r="U220" s="46" t="n"/>
      <c r="V220" s="46" t="n"/>
      <c r="W220" s="46" t="n"/>
      <c r="X220" s="46" t="n"/>
      <c r="Y220" s="46" t="n"/>
      <c r="Z220" s="46" t="n"/>
    </row>
    <row r="221" ht="15.75" customHeight="1" s="162"/>
    <row r="222" ht="15.75" customHeight="1" s="162"/>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3">
    <mergeCell ref="B3:E3"/>
    <mergeCell ref="B2:E2"/>
    <mergeCell ref="B4:E4"/>
  </mergeCells>
  <dataValidations count="1">
    <dataValidation sqref="F12:F20 G2:G3 G9 G21:G145 I12:I20 J2:J3 J9 J21:J145 L12:L20 M2:M3 M9 M21:M145"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Z222"/>
  <sheetViews>
    <sheetView workbookViewId="0">
      <pane ySplit="10" topLeftCell="A11" activePane="bottomLeft" state="frozen"/>
      <selection pane="bottomLeft" activeCell="B12" sqref="B12"/>
    </sheetView>
  </sheetViews>
  <sheetFormatPr baseColWidth="8" defaultColWidth="12.63" defaultRowHeight="15" customHeight="1" outlineLevelRow="1"/>
  <cols>
    <col width="17" customWidth="1" style="162" min="1" max="1"/>
    <col width="34.5" customWidth="1" style="162" min="2" max="2"/>
    <col width="34.13" customWidth="1" style="162" min="3" max="3"/>
    <col width="34.63" customWidth="1" style="162" min="4" max="4"/>
    <col width="28.38" customWidth="1" style="162" min="5" max="5"/>
    <col width="9.380000000000001" customWidth="1" style="162" min="6" max="6"/>
    <col outlineLevel="1" width="10.63" customWidth="1" style="162" min="7" max="7"/>
    <col outlineLevel="1" width="7" customWidth="1" style="162" min="8" max="8"/>
    <col width="9.380000000000001" customWidth="1" style="162" min="9" max="9"/>
    <col outlineLevel="1" width="10.63" customWidth="1" style="162" min="10" max="10"/>
    <col outlineLevel="1" width="7" customWidth="1" style="162" min="11" max="11"/>
    <col width="9.380000000000001" customWidth="1" style="162" min="12" max="12"/>
    <col outlineLevel="1" width="10.63" customWidth="1" style="162" min="13" max="13"/>
    <col outlineLevel="1" width="7" customWidth="1" style="162" min="14" max="14"/>
    <col width="28.63" customWidth="1" style="162" min="15" max="15"/>
    <col width="10.13" customWidth="1" style="162" min="16" max="16"/>
    <col width="8.130000000000001" customWidth="1" style="162" min="17" max="17"/>
    <col hidden="1" width="7.63" customWidth="1" style="162" min="18" max="18"/>
    <col width="9" customWidth="1" style="162" min="19" max="26"/>
  </cols>
  <sheetData>
    <row r="1" ht="12.75" customHeight="1" s="162">
      <c r="A1" s="46" t="n"/>
      <c r="B1" s="46" t="n"/>
      <c r="C1" s="46" t="n"/>
      <c r="D1" s="46" t="n"/>
      <c r="E1" s="46" t="n"/>
      <c r="F1" s="46" t="n"/>
      <c r="G1" s="46" t="n"/>
      <c r="H1" s="46" t="n"/>
      <c r="I1" s="46" t="n"/>
      <c r="J1" s="46" t="n"/>
      <c r="K1" s="46" t="n"/>
      <c r="L1" s="46" t="n"/>
      <c r="M1" s="46" t="n"/>
      <c r="N1" s="46" t="n"/>
      <c r="O1" s="46" t="n"/>
      <c r="P1" s="46" t="n"/>
      <c r="Q1" s="115" t="n"/>
      <c r="R1" s="46" t="n"/>
      <c r="S1" s="46" t="n"/>
      <c r="T1" s="46" t="n"/>
      <c r="U1" s="46" t="n"/>
      <c r="V1" s="46" t="n"/>
      <c r="W1" s="46" t="n"/>
      <c r="X1" s="46" t="n"/>
      <c r="Y1" s="46" t="n"/>
      <c r="Z1" s="46" t="n"/>
    </row>
    <row r="2" ht="15" customHeight="1" s="162">
      <c r="A2" s="116" t="inlineStr">
        <is>
          <t>Workflow</t>
        </is>
      </c>
      <c r="B2" s="174" t="inlineStr">
        <is>
          <t>View Diagnostic Results</t>
        </is>
      </c>
      <c r="C2" s="175" t="n"/>
      <c r="D2" s="175" t="n"/>
      <c r="E2" s="176" t="n"/>
      <c r="F2" s="120" t="n"/>
      <c r="G2" s="121" t="n"/>
      <c r="H2" s="11" t="n"/>
      <c r="I2" s="120" t="n"/>
      <c r="J2" s="121" t="n"/>
      <c r="K2" s="11" t="n"/>
      <c r="L2" s="120" t="n"/>
      <c r="M2" s="121" t="n"/>
      <c r="N2" s="11" t="n"/>
      <c r="O2" s="11" t="n"/>
      <c r="P2" s="11" t="n"/>
      <c r="Q2" s="122" t="n"/>
      <c r="R2" s="123" t="inlineStr">
        <is>
          <t>Passed</t>
        </is>
      </c>
      <c r="S2" s="123" t="n"/>
      <c r="T2" s="123" t="n"/>
      <c r="U2" s="123" t="n"/>
      <c r="V2" s="123" t="n"/>
      <c r="W2" s="123" t="n"/>
      <c r="X2" s="123" t="n"/>
      <c r="Y2" s="123" t="n"/>
      <c r="Z2" s="123" t="n"/>
    </row>
    <row r="3" ht="12.75" customHeight="1" s="162">
      <c r="A3" s="124" t="inlineStr">
        <is>
          <t>Test requirement</t>
        </is>
      </c>
      <c r="B3" s="177" t="inlineStr">
        <is>
          <t>Verify Patient can view lab results of a completed lab order. The information is read-only and includes clinical details</t>
        </is>
      </c>
      <c r="C3" s="164" t="n"/>
      <c r="D3" s="164" t="n"/>
      <c r="E3" s="178" t="n"/>
      <c r="F3" s="120" t="n"/>
      <c r="G3" s="121" t="n"/>
      <c r="H3" s="11" t="n"/>
      <c r="I3" s="120" t="n"/>
      <c r="J3" s="121" t="n"/>
      <c r="K3" s="11" t="n"/>
      <c r="L3" s="120" t="n"/>
      <c r="M3" s="121" t="n"/>
      <c r="N3" s="11" t="n"/>
      <c r="O3" s="11" t="n"/>
      <c r="P3" s="11" t="n"/>
      <c r="Q3" s="122" t="n"/>
      <c r="R3" s="123" t="inlineStr">
        <is>
          <t>Failed</t>
        </is>
      </c>
      <c r="S3" s="123" t="n"/>
      <c r="T3" s="123" t="n"/>
      <c r="U3" s="123" t="n"/>
      <c r="V3" s="123" t="n"/>
      <c r="W3" s="123" t="n"/>
      <c r="X3" s="123" t="n"/>
      <c r="Y3" s="123" t="n"/>
      <c r="Z3" s="123" t="n"/>
    </row>
    <row r="4" ht="18" customHeight="1" s="162">
      <c r="A4" s="124" t="inlineStr">
        <is>
          <t>Number of TCs</t>
        </is>
      </c>
      <c r="B4" s="177">
        <f>COUNTIF(A12:A1002,"TC_*")</f>
        <v/>
      </c>
      <c r="C4" s="164" t="n"/>
      <c r="D4" s="164" t="n"/>
      <c r="E4" s="178" t="n"/>
      <c r="F4" s="120" t="n"/>
      <c r="G4" s="121" t="n"/>
      <c r="H4" s="11" t="n"/>
      <c r="I4" s="120" t="n"/>
      <c r="J4" s="121" t="n"/>
      <c r="K4" s="11" t="n"/>
      <c r="L4" s="120" t="n"/>
      <c r="M4" s="121" t="n"/>
      <c r="N4" s="11" t="n"/>
      <c r="O4" s="11" t="n"/>
      <c r="P4" s="11" t="n"/>
      <c r="Q4" s="122" t="n"/>
      <c r="R4" s="123" t="inlineStr">
        <is>
          <t>Pending</t>
        </is>
      </c>
      <c r="S4" s="123" t="n"/>
      <c r="T4" s="123" t="n"/>
      <c r="U4" s="123" t="n"/>
      <c r="V4" s="123" t="n"/>
      <c r="W4" s="123" t="n"/>
      <c r="X4" s="123" t="n"/>
      <c r="Y4" s="123" t="n"/>
      <c r="Z4" s="123" t="n"/>
    </row>
    <row r="5" ht="19.5" customHeight="1" s="162">
      <c r="A5" s="127" t="inlineStr">
        <is>
          <t>Testing Round</t>
        </is>
      </c>
      <c r="B5" s="128" t="inlineStr">
        <is>
          <t>Passed</t>
        </is>
      </c>
      <c r="C5" s="128" t="inlineStr">
        <is>
          <t>Failed</t>
        </is>
      </c>
      <c r="D5" s="128" t="inlineStr">
        <is>
          <t>Pending</t>
        </is>
      </c>
      <c r="E5" s="129" t="inlineStr">
        <is>
          <t>N/A</t>
        </is>
      </c>
      <c r="F5" s="130" t="n"/>
      <c r="G5" s="130" t="n"/>
      <c r="H5" s="131" t="n"/>
      <c r="I5" s="130" t="n"/>
      <c r="J5" s="130" t="n"/>
      <c r="K5" s="131" t="n"/>
      <c r="L5" s="130" t="n"/>
      <c r="M5" s="130" t="n"/>
      <c r="N5" s="131" t="n"/>
      <c r="O5" s="131" t="n"/>
      <c r="P5" s="131" t="n"/>
      <c r="Q5" s="132" t="n"/>
      <c r="R5" s="123" t="inlineStr">
        <is>
          <t>N/A</t>
        </is>
      </c>
      <c r="S5" s="123" t="n"/>
      <c r="T5" s="123" t="n"/>
      <c r="U5" s="123" t="n"/>
      <c r="V5" s="123" t="n"/>
      <c r="W5" s="123" t="n"/>
      <c r="X5" s="123" t="n"/>
      <c r="Y5" s="123" t="n"/>
      <c r="Z5" s="123" t="n"/>
    </row>
    <row r="6" ht="15" customHeight="1" s="162">
      <c r="A6" s="127" t="inlineStr">
        <is>
          <t>Round 1</t>
        </is>
      </c>
      <c r="B6" s="133">
        <f>COUNTIF($F10:$F998,B5)</f>
        <v/>
      </c>
      <c r="C6" s="133">
        <f>COUNTIF($F10:$F998,C5)</f>
        <v/>
      </c>
      <c r="D6" s="133">
        <f>COUNTIF($F10:$F998,D5)</f>
        <v/>
      </c>
      <c r="E6" s="134">
        <f>COUNTIF($F10:$F998,E5)</f>
        <v/>
      </c>
      <c r="F6" s="135" t="n"/>
      <c r="G6" s="135" t="n"/>
      <c r="H6" s="131" t="n"/>
      <c r="I6" s="135" t="n"/>
      <c r="J6" s="135" t="n"/>
      <c r="K6" s="131" t="n"/>
      <c r="L6" s="135" t="n"/>
      <c r="M6" s="135" t="n"/>
      <c r="N6" s="131" t="n"/>
      <c r="O6" s="131" t="n"/>
      <c r="P6" s="131" t="n"/>
      <c r="Q6" s="132" t="n"/>
      <c r="R6" s="123" t="n"/>
      <c r="S6" s="123" t="n"/>
      <c r="T6" s="123" t="n"/>
      <c r="U6" s="123" t="n"/>
      <c r="V6" s="123" t="n"/>
      <c r="W6" s="123" t="n"/>
      <c r="X6" s="123" t="n"/>
      <c r="Y6" s="123" t="n"/>
      <c r="Z6" s="123" t="n"/>
    </row>
    <row r="7" ht="15" customHeight="1" s="162">
      <c r="A7" s="127" t="inlineStr">
        <is>
          <t>Round 2</t>
        </is>
      </c>
      <c r="B7" s="133">
        <f>COUNTIF($F10:$F998,B5)</f>
        <v/>
      </c>
      <c r="C7" s="133">
        <f>COUNTIF($F10:$F998,C5)</f>
        <v/>
      </c>
      <c r="D7" s="133">
        <f>COUNTIF($F10:$F998,D5)</f>
        <v/>
      </c>
      <c r="E7" s="134">
        <f>COUNTIF($F10:$F998,E5)</f>
        <v/>
      </c>
      <c r="F7" s="135" t="n"/>
      <c r="G7" s="135" t="n"/>
      <c r="H7" s="131" t="n"/>
      <c r="I7" s="135" t="n"/>
      <c r="J7" s="135" t="n"/>
      <c r="K7" s="131" t="n"/>
      <c r="L7" s="135" t="n"/>
      <c r="M7" s="135" t="n"/>
      <c r="N7" s="131" t="n"/>
      <c r="O7" s="131" t="n"/>
      <c r="P7" s="131" t="n"/>
      <c r="Q7" s="132" t="n"/>
      <c r="R7" s="123" t="n"/>
      <c r="S7" s="123" t="n"/>
      <c r="T7" s="123" t="n"/>
      <c r="U7" s="123" t="n"/>
      <c r="V7" s="123" t="n"/>
      <c r="W7" s="123" t="n"/>
      <c r="X7" s="123" t="n"/>
      <c r="Y7" s="123" t="n"/>
      <c r="Z7" s="123" t="n"/>
    </row>
    <row r="8" ht="15" customHeight="1" s="162">
      <c r="A8" s="136" t="inlineStr">
        <is>
          <t>Round 3</t>
        </is>
      </c>
      <c r="B8" s="137">
        <f>COUNTIF($F10:$F998,B5)</f>
        <v/>
      </c>
      <c r="C8" s="137">
        <f>COUNTIF($F10:$F998,C5)</f>
        <v/>
      </c>
      <c r="D8" s="137">
        <f>COUNTIF($F10:$F998,D5)</f>
        <v/>
      </c>
      <c r="E8" s="138">
        <f>COUNTIF($F10:$F998,E5)</f>
        <v/>
      </c>
      <c r="F8" s="135" t="n"/>
      <c r="G8" s="135" t="n"/>
      <c r="H8" s="131" t="n"/>
      <c r="I8" s="135" t="n"/>
      <c r="J8" s="135" t="n"/>
      <c r="K8" s="131" t="n"/>
      <c r="L8" s="135" t="n"/>
      <c r="M8" s="135" t="n"/>
      <c r="N8" s="131" t="n"/>
      <c r="O8" s="131" t="n"/>
      <c r="P8" s="131" t="n"/>
      <c r="Q8" s="132" t="n"/>
      <c r="R8" s="123" t="n"/>
      <c r="S8" s="123" t="n"/>
      <c r="T8" s="123" t="n"/>
      <c r="U8" s="123" t="n"/>
      <c r="V8" s="123" t="n"/>
      <c r="W8" s="123" t="n"/>
      <c r="X8" s="123" t="n"/>
      <c r="Y8" s="123" t="n"/>
      <c r="Z8" s="123" t="n"/>
    </row>
    <row r="9" ht="15" customHeight="1" s="162">
      <c r="A9" s="131" t="n"/>
      <c r="B9" s="131" t="n"/>
      <c r="C9" s="131" t="n"/>
      <c r="D9" s="131" t="n"/>
      <c r="E9" s="131" t="n"/>
      <c r="F9" s="114" t="n"/>
      <c r="G9" s="131" t="n"/>
      <c r="H9" s="131" t="n"/>
      <c r="I9" s="114" t="n"/>
      <c r="J9" s="131" t="n"/>
      <c r="K9" s="131" t="n"/>
      <c r="L9" s="114" t="n"/>
      <c r="M9" s="131" t="n"/>
      <c r="N9" s="131" t="n"/>
      <c r="O9" s="131" t="n"/>
      <c r="P9" s="131" t="n"/>
      <c r="Q9" s="132" t="n"/>
      <c r="R9" s="123" t="n"/>
      <c r="S9" s="123" t="n"/>
      <c r="T9" s="123" t="n"/>
      <c r="U9" s="123" t="n"/>
      <c r="V9" s="123" t="n"/>
      <c r="W9" s="123" t="n"/>
      <c r="X9" s="123" t="n"/>
      <c r="Y9" s="123" t="n"/>
      <c r="Z9" s="123" t="n"/>
    </row>
    <row r="10" ht="25.5" customHeight="1" s="162">
      <c r="A10" s="139" t="inlineStr">
        <is>
          <t>Test Case ID</t>
        </is>
      </c>
      <c r="B10" s="139" t="inlineStr">
        <is>
          <t>Test Case Description</t>
        </is>
      </c>
      <c r="C10" s="139" t="inlineStr">
        <is>
          <t>Test Case Procedure</t>
        </is>
      </c>
      <c r="D10" s="139" t="inlineStr">
        <is>
          <t>Expected Results</t>
        </is>
      </c>
      <c r="E10" s="139" t="inlineStr">
        <is>
          <t>Pre-conditions</t>
        </is>
      </c>
      <c r="F10" s="139" t="inlineStr">
        <is>
          <t>Round 1</t>
        </is>
      </c>
      <c r="G10" s="139" t="inlineStr">
        <is>
          <t>Test date</t>
        </is>
      </c>
      <c r="H10" s="139" t="inlineStr">
        <is>
          <t>Tester</t>
        </is>
      </c>
      <c r="I10" s="139" t="inlineStr">
        <is>
          <t>Round 2</t>
        </is>
      </c>
      <c r="J10" s="139" t="inlineStr">
        <is>
          <t>Test date</t>
        </is>
      </c>
      <c r="K10" s="139" t="inlineStr">
        <is>
          <t>Tester</t>
        </is>
      </c>
      <c r="L10" s="139" t="inlineStr">
        <is>
          <t>Round 3</t>
        </is>
      </c>
      <c r="M10" s="139" t="inlineStr">
        <is>
          <t>Test date</t>
        </is>
      </c>
      <c r="N10" s="139" t="inlineStr">
        <is>
          <t>Tester</t>
        </is>
      </c>
      <c r="O10" s="139" t="inlineStr">
        <is>
          <t>Note</t>
        </is>
      </c>
      <c r="P10" s="123" t="n"/>
      <c r="Q10" s="140" t="n"/>
      <c r="R10" s="123" t="n"/>
      <c r="S10" s="123" t="n"/>
      <c r="T10" s="123" t="n"/>
      <c r="U10" s="123" t="n"/>
      <c r="V10" s="123" t="n"/>
      <c r="W10" s="123" t="n"/>
      <c r="X10" s="123" t="n"/>
      <c r="Y10" s="123" t="n"/>
      <c r="Z10" s="123" t="n"/>
    </row>
    <row r="11" ht="15.75" customHeight="1" s="162">
      <c r="A11" s="158" t="inlineStr">
        <is>
          <t>Scenario A</t>
        </is>
      </c>
      <c r="B11" s="158" t="inlineStr">
        <is>
          <t>Accessing Completed Lab Results</t>
        </is>
      </c>
      <c r="C11" s="142" t="n"/>
      <c r="D11" s="142" t="n"/>
      <c r="E11" s="142" t="n"/>
      <c r="F11" s="142" t="n"/>
      <c r="G11" s="142" t="n"/>
      <c r="H11" s="142" t="n"/>
      <c r="I11" s="142" t="n"/>
      <c r="J11" s="142" t="n"/>
      <c r="K11" s="142" t="n"/>
      <c r="L11" s="142" t="n"/>
      <c r="M11" s="142" t="n"/>
      <c r="N11" s="142" t="n"/>
      <c r="O11" s="143" t="n"/>
      <c r="P11" s="123" t="n"/>
      <c r="Q11" s="144" t="n"/>
      <c r="R11" s="123" t="n"/>
      <c r="S11" s="123" t="n"/>
      <c r="T11" s="123" t="n"/>
      <c r="U11" s="123" t="n"/>
      <c r="V11" s="123" t="n"/>
      <c r="W11" s="123" t="n"/>
      <c r="X11" s="123" t="n"/>
      <c r="Y11" s="123" t="n"/>
      <c r="Z11" s="123" t="n"/>
    </row>
    <row r="12" outlineLevel="1" ht="150" customHeight="1" s="162">
      <c r="A12" s="159" t="inlineStr">
        <is>
          <t>TC_DR_001</t>
        </is>
      </c>
      <c r="B12" s="159" t="inlineStr">
        <is>
          <t>Access lab result details for a completed lab order</t>
        </is>
      </c>
      <c r="C12" s="159" t="inlineStr">
        <is>
          <t>1. Find a visit with 'APPROVED' status
2. Verify the presence of the 'Xem kết quả xét nghiệm' button
3. Click the 'Xem kết quả xét nghiệm' button</t>
        </is>
      </c>
      <c r="D12" s="160" t="inlineStr">
        <is>
          <t>1. The system navigates the patient to the lab result details screen
2. All clinical details of that lab order are loaded successfully</t>
        </is>
      </c>
      <c r="E12" s="160" t="inlineStr">
        <is>
          <t>1. Patient is logged in and is on the Lab Results page
2. At least one lab order has status 'APPROVED'</t>
        </is>
      </c>
      <c r="F12" s="155" t="inlineStr">
        <is>
          <t>Pending</t>
        </is>
      </c>
      <c r="G12" s="155" t="n"/>
      <c r="H12" s="155" t="n"/>
      <c r="I12" s="155" t="inlineStr">
        <is>
          <t>Pending</t>
        </is>
      </c>
      <c r="J12" s="155" t="n"/>
      <c r="K12" s="155" t="n"/>
      <c r="L12" s="155" t="inlineStr">
        <is>
          <t>Pending</t>
        </is>
      </c>
      <c r="M12" s="155" t="n"/>
      <c r="N12" s="155" t="n"/>
      <c r="O12" s="155" t="n"/>
      <c r="P12" s="148" t="n"/>
      <c r="Q12" s="149" t="n"/>
      <c r="R12" s="148" t="n"/>
      <c r="S12" s="148" t="n"/>
      <c r="T12" s="148" t="n"/>
      <c r="U12" s="148" t="n"/>
      <c r="V12" s="148" t="n"/>
      <c r="W12" s="148" t="n"/>
      <c r="X12" s="148" t="n"/>
      <c r="Y12" s="148" t="n"/>
      <c r="Z12" s="148" t="n"/>
    </row>
    <row r="13" outlineLevel="1" ht="150" customHeight="1" s="162">
      <c r="A13" s="159" t="inlineStr">
        <is>
          <t>TC_DR_002</t>
        </is>
      </c>
      <c r="B13" s="159" t="inlineStr">
        <is>
          <t>Verify 'Xem kết quả xét nghiệm' button visibility for non-completed visits</t>
        </is>
      </c>
      <c r="C13" s="159" t="inlineStr">
        <is>
          <t>1. Locate lab orders with status 'PENDING', 'IN_PROGRESS', 'SUBMITTED' or 'REJECTED'
2. Check for the presence of the 'Xem kết quả xét nghiệm' button on these cards</t>
        </is>
      </c>
      <c r="D13" s="160" t="inlineStr">
        <is>
          <t>1. The 'Xem kết quả xét nghiệm' button is NOT visible for any appointment that is not in 'APPROVED' status</t>
        </is>
      </c>
      <c r="E13" s="160" t="inlineStr">
        <is>
          <t>1. Patient is logged in and is on the Lab Results page
2. Lab orders with status 'PENDING', 'IN_PROGRESS', 'SUBMITTED', or 'REJECTED' are present in the list</t>
        </is>
      </c>
      <c r="F13" s="155" t="n"/>
      <c r="G13" s="155" t="n"/>
      <c r="H13" s="155" t="n"/>
      <c r="I13" s="155" t="n"/>
      <c r="J13" s="155" t="n"/>
      <c r="K13" s="155" t="n"/>
      <c r="L13" s="155" t="n"/>
      <c r="M13" s="155" t="n"/>
      <c r="N13" s="155" t="n"/>
      <c r="O13" s="155" t="n"/>
      <c r="P13" s="148" t="n"/>
      <c r="Q13" s="149" t="n"/>
      <c r="R13" s="148" t="n"/>
      <c r="S13" s="148" t="n"/>
      <c r="T13" s="148" t="n"/>
      <c r="U13" s="148" t="n"/>
      <c r="V13" s="148" t="n"/>
      <c r="W13" s="148" t="n"/>
      <c r="X13" s="148" t="n"/>
      <c r="Y13" s="148" t="n"/>
      <c r="Z13" s="148" t="n"/>
    </row>
    <row r="14" outlineLevel="1" ht="150" customHeight="1" s="162">
      <c r="A14" s="159" t="inlineStr">
        <is>
          <t>TC_DR_003</t>
        </is>
      </c>
      <c r="B14" s="159" t="inlineStr">
        <is>
          <t>Verify all lab result information is read-only for patients</t>
        </is>
      </c>
      <c r="C14" s="159" t="inlineStr">
        <is>
          <t>1. Click on fields (visual acuity metrics)
2. Try to type or edit any value.</t>
        </is>
      </c>
      <c r="D14" s="160" t="inlineStr">
        <is>
          <t>1. All fields are in read-only format
2. Patient is unable to modify any clinical data</t>
        </is>
      </c>
      <c r="E14" s="160" t="inlineStr">
        <is>
          <t>1. Patient has successfully navigated to the Lab Result details page of an approved Lab Order</t>
        </is>
      </c>
      <c r="F14" s="155" t="n"/>
      <c r="G14" s="155" t="n"/>
      <c r="H14" s="155" t="n"/>
      <c r="I14" s="155" t="n"/>
      <c r="J14" s="155" t="n"/>
      <c r="K14" s="155" t="n"/>
      <c r="L14" s="155" t="n"/>
      <c r="M14" s="155" t="n"/>
      <c r="N14" s="155" t="n"/>
      <c r="O14" s="155" t="n"/>
      <c r="P14" s="148" t="n"/>
      <c r="Q14" s="149" t="n"/>
      <c r="R14" s="148" t="n"/>
      <c r="S14" s="148" t="n"/>
      <c r="T14" s="148" t="n"/>
      <c r="U14" s="148" t="n"/>
      <c r="V14" s="148" t="n"/>
      <c r="W14" s="148" t="n"/>
      <c r="X14" s="148" t="n"/>
      <c r="Y14" s="148" t="n"/>
      <c r="Z14" s="148" t="n"/>
    </row>
    <row r="15" outlineLevel="1" ht="141" customHeight="1" s="162">
      <c r="A15" s="159" t="inlineStr">
        <is>
          <t>TC_DR_004</t>
        </is>
      </c>
      <c r="B15" s="159" t="inlineStr">
        <is>
          <t>Verify lab result content completeness</t>
        </is>
      </c>
      <c r="C15" s="159" t="inlineStr">
        <is>
          <t>1. Check the page structure and look for: patient's information, doctor's full name, lab technician's full name, visual acuity metrics, images</t>
        </is>
      </c>
      <c r="D15" s="159" t="inlineStr">
        <is>
          <t>1. The page displays all visual acuity data and images.</t>
        </is>
      </c>
      <c r="E15" s="159" t="inlineStr">
        <is>
          <t>1. Patient is on the Lab Result details page</t>
        </is>
      </c>
      <c r="F15" s="155" t="inlineStr">
        <is>
          <t>Pending</t>
        </is>
      </c>
      <c r="G15" s="155" t="n"/>
      <c r="H15" s="155" t="n"/>
      <c r="I15" s="155" t="inlineStr">
        <is>
          <t>Pending</t>
        </is>
      </c>
      <c r="J15" s="155" t="n"/>
      <c r="K15" s="155" t="n"/>
      <c r="L15" s="155" t="inlineStr">
        <is>
          <t>Pending</t>
        </is>
      </c>
      <c r="M15" s="155" t="n"/>
      <c r="N15" s="155" t="n"/>
      <c r="O15" s="155" t="n"/>
      <c r="P15" s="148" t="n"/>
      <c r="Q15" s="149" t="n"/>
      <c r="R15" s="148" t="n"/>
      <c r="S15" s="148" t="n"/>
      <c r="T15" s="148" t="n"/>
      <c r="U15" s="148" t="n"/>
      <c r="V15" s="148" t="n"/>
      <c r="W15" s="148" t="n"/>
      <c r="X15" s="148" t="n"/>
      <c r="Y15" s="148" t="n"/>
      <c r="Z15" s="148" t="n"/>
    </row>
    <row r="16" ht="15.75" customHeight="1" s="162">
      <c r="A16" s="158" t="inlineStr">
        <is>
          <t>Scenario B</t>
        </is>
      </c>
      <c r="B16" s="161" t="inlineStr">
        <is>
          <t>Download Lab Result as PDF File</t>
        </is>
      </c>
      <c r="C16" s="151" t="n"/>
      <c r="D16" s="151" t="n"/>
      <c r="E16" s="151" t="n"/>
      <c r="F16" s="151" t="n"/>
      <c r="G16" s="151" t="n"/>
      <c r="H16" s="151" t="n"/>
      <c r="I16" s="151" t="n"/>
      <c r="J16" s="151" t="n"/>
      <c r="K16" s="151" t="n"/>
      <c r="L16" s="151" t="n"/>
      <c r="M16" s="151" t="n"/>
      <c r="N16" s="151" t="n"/>
      <c r="O16" s="152" t="n"/>
      <c r="P16" s="123" t="n"/>
      <c r="Q16" s="144" t="n"/>
      <c r="R16" s="123" t="n"/>
      <c r="S16" s="123" t="n"/>
      <c r="T16" s="123" t="n"/>
      <c r="U16" s="123" t="n"/>
      <c r="V16" s="123" t="n"/>
      <c r="W16" s="123" t="n"/>
      <c r="X16" s="123" t="n"/>
      <c r="Y16" s="123" t="n"/>
      <c r="Z16" s="123" t="n"/>
    </row>
    <row r="17" outlineLevel="1" ht="79.5" customHeight="1" s="162">
      <c r="A17" s="159" t="inlineStr">
        <is>
          <t>TC_DR_05</t>
        </is>
      </c>
      <c r="B17" s="159" t="inlineStr">
        <is>
          <t>Verify download an approved lab result as a PDF file</t>
        </is>
      </c>
      <c r="C17" s="159" t="inlineStr">
        <is>
          <t>1. Find a visit with 'APPROVED' status
2. Verify the presence of the 'Xem kết quả xét nghiệm' button
3. Click the 'Xem kết quả xét nghiệm' button
4. Click the "Download PDF" button</t>
        </is>
      </c>
      <c r="D17" s="159" t="inlineStr">
        <is>
          <t>1. A PDF file is successfully downloaded
2. The file contains a sheet of all lab result details</t>
        </is>
      </c>
      <c r="E17" s="159" t="inlineStr">
        <is>
          <t>1. Patient is logged in and is on the Lab Results page
2. At least one lab order has status 'APPROVED'</t>
        </is>
      </c>
      <c r="F17" s="155" t="inlineStr">
        <is>
          <t>Pending</t>
        </is>
      </c>
      <c r="G17" s="155" t="n"/>
      <c r="H17" s="155" t="n"/>
      <c r="I17" s="155" t="inlineStr">
        <is>
          <t>Pending</t>
        </is>
      </c>
      <c r="J17" s="155" t="n"/>
      <c r="K17" s="155" t="n"/>
      <c r="L17" s="155" t="inlineStr">
        <is>
          <t>Pending</t>
        </is>
      </c>
      <c r="M17" s="155" t="n"/>
      <c r="N17" s="155" t="n"/>
      <c r="O17" s="155" t="n"/>
      <c r="P17" s="46" t="n"/>
      <c r="Q17" s="149" t="n"/>
      <c r="R17" s="46" t="n"/>
      <c r="S17" s="46" t="n"/>
      <c r="T17" s="46" t="n"/>
      <c r="U17" s="46" t="n"/>
      <c r="V17" s="46" t="n"/>
      <c r="W17" s="46" t="n"/>
      <c r="X17" s="46" t="n"/>
      <c r="Y17" s="46" t="n"/>
      <c r="Z17" s="46" t="n"/>
    </row>
    <row r="18" outlineLevel="1" ht="78.75" customHeight="1" s="162">
      <c r="A18" s="159" t="n"/>
      <c r="B18" s="159" t="n"/>
      <c r="C18" s="159" t="n"/>
      <c r="D18" s="159" t="n"/>
      <c r="E18" s="159" t="n"/>
      <c r="F18" s="155" t="inlineStr">
        <is>
          <t>Pending</t>
        </is>
      </c>
      <c r="G18" s="153" t="n"/>
      <c r="H18" s="153" t="n"/>
      <c r="I18" s="155" t="inlineStr">
        <is>
          <t>Pending</t>
        </is>
      </c>
      <c r="J18" s="153" t="n"/>
      <c r="K18" s="153" t="n"/>
      <c r="L18" s="155" t="inlineStr">
        <is>
          <t>Pending</t>
        </is>
      </c>
      <c r="M18" s="153" t="n"/>
      <c r="N18" s="153" t="n"/>
      <c r="O18" s="153" t="n"/>
      <c r="P18" s="46" t="n"/>
      <c r="Q18" s="115" t="n"/>
      <c r="R18" s="46" t="n"/>
      <c r="S18" s="46" t="n"/>
      <c r="T18" s="46" t="n"/>
      <c r="U18" s="46" t="n"/>
      <c r="V18" s="46" t="n"/>
      <c r="W18" s="46" t="n"/>
      <c r="X18" s="46" t="n"/>
      <c r="Y18" s="46" t="n"/>
      <c r="Z18" s="46" t="n"/>
    </row>
    <row r="19" ht="15.75" customHeight="1" s="162">
      <c r="A19" s="158" t="n"/>
      <c r="B19" s="161" t="n"/>
      <c r="C19" s="151" t="n"/>
      <c r="D19" s="151" t="n"/>
      <c r="E19" s="151" t="n"/>
      <c r="F19" s="151" t="n"/>
      <c r="G19" s="151" t="n"/>
      <c r="H19" s="151" t="n"/>
      <c r="I19" s="151" t="n"/>
      <c r="J19" s="151" t="n"/>
      <c r="K19" s="151" t="n"/>
      <c r="L19" s="151" t="n"/>
      <c r="M19" s="151" t="n"/>
      <c r="N19" s="151" t="n"/>
      <c r="O19" s="152" t="n"/>
      <c r="P19" s="123" t="n"/>
      <c r="Q19" s="144" t="n"/>
      <c r="R19" s="123" t="n"/>
      <c r="S19" s="123" t="n"/>
      <c r="T19" s="123" t="n"/>
      <c r="U19" s="123" t="n"/>
      <c r="V19" s="123" t="n"/>
      <c r="W19" s="123" t="n"/>
      <c r="X19" s="123" t="n"/>
      <c r="Y19" s="123" t="n"/>
      <c r="Z19" s="123" t="n"/>
    </row>
    <row r="20" ht="134.25" customHeight="1" s="162">
      <c r="A20" s="159" t="n"/>
      <c r="B20" s="159" t="n"/>
      <c r="C20" s="159" t="n"/>
      <c r="D20" s="159" t="n"/>
      <c r="E20" s="159" t="n"/>
      <c r="F20" s="154" t="inlineStr">
        <is>
          <t>Pending</t>
        </is>
      </c>
      <c r="G20" s="154" t="n"/>
      <c r="H20" s="155" t="n"/>
      <c r="I20" s="154" t="inlineStr">
        <is>
          <t>Pending</t>
        </is>
      </c>
      <c r="J20" s="154" t="n"/>
      <c r="K20" s="155" t="n"/>
      <c r="L20" s="154" t="inlineStr">
        <is>
          <t>Pending</t>
        </is>
      </c>
      <c r="M20" s="153" t="n"/>
      <c r="N20" s="46" t="n"/>
      <c r="O20" s="155" t="n"/>
      <c r="P20" s="115" t="n"/>
      <c r="Q20" s="46" t="n"/>
      <c r="R20" s="46" t="n"/>
      <c r="S20" s="46" t="n"/>
      <c r="T20" s="46" t="n"/>
      <c r="U20" s="46" t="n"/>
      <c r="V20" s="46" t="n"/>
      <c r="W20" s="46" t="n"/>
      <c r="X20" s="46" t="n"/>
      <c r="Y20" s="46" t="n"/>
    </row>
    <row r="21" ht="99" customHeight="1" s="162">
      <c r="A21" s="159" t="n"/>
      <c r="B21" s="159" t="n"/>
      <c r="C21" s="159" t="n"/>
      <c r="D21" s="159" t="n"/>
      <c r="E21" s="159" t="n"/>
      <c r="F21" s="154" t="inlineStr">
        <is>
          <t>Pending</t>
        </is>
      </c>
      <c r="G21" s="154" t="n"/>
      <c r="H21" s="155" t="n"/>
      <c r="I21" s="154" t="inlineStr">
        <is>
          <t>Pending</t>
        </is>
      </c>
      <c r="J21" s="154" t="n"/>
      <c r="K21" s="155" t="n"/>
      <c r="L21" s="154" t="inlineStr">
        <is>
          <t>Pending</t>
        </is>
      </c>
      <c r="M21" s="153" t="n"/>
      <c r="N21" s="153" t="n"/>
      <c r="O21" s="155" t="n"/>
      <c r="P21" s="115" t="n"/>
      <c r="Q21" s="46" t="n"/>
      <c r="R21" s="46" t="n"/>
      <c r="S21" s="46" t="n"/>
      <c r="T21" s="46" t="n"/>
      <c r="U21" s="46" t="n"/>
      <c r="V21" s="46" t="n"/>
      <c r="W21" s="46" t="n"/>
      <c r="X21" s="46" t="n"/>
      <c r="Y21" s="46" t="n"/>
    </row>
    <row r="22" ht="149.25" customHeight="1" s="162">
      <c r="A22" s="159" t="n"/>
      <c r="B22" s="159" t="n"/>
      <c r="C22" s="159" t="n"/>
      <c r="D22" s="159" t="n"/>
      <c r="E22" s="159" t="n"/>
      <c r="F22" s="154" t="inlineStr">
        <is>
          <t>Pending</t>
        </is>
      </c>
      <c r="G22" s="154" t="n"/>
      <c r="H22" s="155" t="n"/>
      <c r="I22" s="154" t="inlineStr">
        <is>
          <t>Pending</t>
        </is>
      </c>
      <c r="J22" s="154" t="n"/>
      <c r="K22" s="155" t="n"/>
      <c r="L22" s="154" t="inlineStr">
        <is>
          <t>Pending</t>
        </is>
      </c>
      <c r="M22" s="153" t="n"/>
      <c r="N22" s="153" t="n"/>
      <c r="O22" s="155" t="n"/>
      <c r="P22" s="115" t="n"/>
      <c r="Q22" s="46" t="n"/>
      <c r="R22" s="46" t="n"/>
      <c r="S22" s="46" t="n"/>
      <c r="T22" s="46" t="n"/>
      <c r="U22" s="46" t="n"/>
      <c r="V22" s="46" t="n"/>
      <c r="W22" s="46" t="n"/>
      <c r="X22" s="46" t="n"/>
      <c r="Y22" s="46" t="n"/>
    </row>
    <row r="23" ht="12.75" customHeight="1" s="162">
      <c r="A23" s="46" t="n"/>
      <c r="B23" s="46" t="n"/>
      <c r="C23" s="46" t="n"/>
      <c r="D23" s="46" t="n"/>
      <c r="E23" s="46" t="n"/>
      <c r="F23" s="46" t="n"/>
      <c r="G23" s="46" t="n"/>
      <c r="H23" s="46" t="n"/>
      <c r="I23" s="46" t="n"/>
      <c r="J23" s="46" t="n"/>
      <c r="K23" s="46" t="n"/>
      <c r="L23" s="46" t="n"/>
      <c r="M23" s="46" t="n"/>
      <c r="N23" s="46" t="n"/>
      <c r="O23" s="46" t="n"/>
      <c r="P23" s="46" t="n"/>
      <c r="Q23" s="115" t="n"/>
      <c r="R23" s="46" t="n"/>
      <c r="S23" s="46" t="n"/>
      <c r="T23" s="46" t="n"/>
      <c r="U23" s="46" t="n"/>
      <c r="V23" s="46" t="n"/>
      <c r="W23" s="46" t="n"/>
      <c r="X23" s="46" t="n"/>
      <c r="Y23" s="46" t="n"/>
      <c r="Z23" s="46" t="n"/>
    </row>
    <row r="24" ht="12.75" customHeight="1" s="162">
      <c r="A24" s="46" t="n"/>
      <c r="B24" s="46" t="n"/>
      <c r="C24" s="46" t="n"/>
      <c r="D24" s="46" t="n"/>
      <c r="E24" s="46" t="n"/>
      <c r="F24" s="46" t="n"/>
      <c r="G24" s="46" t="n"/>
      <c r="H24" s="46" t="n"/>
      <c r="I24" s="46" t="n"/>
      <c r="J24" s="46" t="n"/>
      <c r="K24" s="46" t="n"/>
      <c r="L24" s="46" t="n"/>
      <c r="M24" s="46" t="n"/>
      <c r="N24" s="46" t="n"/>
      <c r="O24" s="46" t="n"/>
      <c r="P24" s="46" t="n"/>
      <c r="Q24" s="115" t="n"/>
      <c r="R24" s="46" t="n"/>
      <c r="S24" s="46" t="n"/>
      <c r="T24" s="46" t="n"/>
      <c r="U24" s="46" t="n"/>
      <c r="V24" s="46" t="n"/>
      <c r="W24" s="46" t="n"/>
      <c r="X24" s="46" t="n"/>
      <c r="Y24" s="46" t="n"/>
      <c r="Z24" s="46" t="n"/>
    </row>
    <row r="25" ht="12.75" customHeight="1" s="162">
      <c r="A25" s="46" t="n"/>
      <c r="B25" s="46" t="n"/>
      <c r="C25" s="46" t="n"/>
      <c r="D25" s="46" t="n"/>
      <c r="E25" s="46" t="n"/>
      <c r="F25" s="46" t="n"/>
      <c r="G25" s="46" t="n"/>
      <c r="H25" s="46" t="n"/>
      <c r="I25" s="46" t="n"/>
      <c r="J25" s="46" t="n"/>
      <c r="K25" s="46" t="n"/>
      <c r="L25" s="46" t="n"/>
      <c r="M25" s="46" t="n"/>
      <c r="N25" s="46" t="n"/>
      <c r="O25" s="46" t="n"/>
      <c r="P25" s="46" t="n"/>
      <c r="Q25" s="115" t="n"/>
      <c r="R25" s="46" t="n"/>
      <c r="S25" s="46" t="n"/>
      <c r="T25" s="46" t="n"/>
      <c r="U25" s="46" t="n"/>
      <c r="V25" s="46" t="n"/>
      <c r="W25" s="46" t="n"/>
      <c r="X25" s="46" t="n"/>
      <c r="Y25" s="46" t="n"/>
      <c r="Z25" s="46" t="n"/>
    </row>
    <row r="26" ht="12.75" customHeight="1" s="162">
      <c r="A26" s="46" t="n"/>
      <c r="B26" s="46" t="n"/>
      <c r="C26" s="46" t="n"/>
      <c r="D26" s="46" t="n"/>
      <c r="E26" s="46" t="n"/>
      <c r="F26" s="46" t="n"/>
      <c r="G26" s="46" t="n"/>
      <c r="H26" s="46" t="n"/>
      <c r="I26" s="46" t="n"/>
      <c r="J26" s="46" t="n"/>
      <c r="K26" s="46" t="n"/>
      <c r="L26" s="46" t="n"/>
      <c r="M26" s="46" t="n"/>
      <c r="N26" s="46" t="n"/>
      <c r="O26" s="46" t="n"/>
      <c r="P26" s="46" t="n"/>
      <c r="Q26" s="115" t="n"/>
      <c r="R26" s="46" t="n"/>
      <c r="S26" s="46" t="n"/>
      <c r="T26" s="46" t="n"/>
      <c r="U26" s="46" t="n"/>
      <c r="V26" s="46" t="n"/>
      <c r="W26" s="46" t="n"/>
      <c r="X26" s="46" t="n"/>
      <c r="Y26" s="46" t="n"/>
      <c r="Z26" s="46" t="n"/>
    </row>
    <row r="27" ht="12.75" customHeight="1" s="162">
      <c r="A27" s="46" t="n"/>
      <c r="B27" s="46" t="n"/>
      <c r="C27" s="46" t="n"/>
      <c r="D27" s="46" t="n"/>
      <c r="E27" s="46" t="n"/>
      <c r="F27" s="46" t="n"/>
      <c r="G27" s="46" t="n"/>
      <c r="H27" s="46" t="n"/>
      <c r="I27" s="46" t="n"/>
      <c r="J27" s="46" t="n"/>
      <c r="K27" s="46" t="n"/>
      <c r="L27" s="46" t="n"/>
      <c r="M27" s="46" t="n"/>
      <c r="N27" s="46" t="n"/>
      <c r="O27" s="46" t="n"/>
      <c r="P27" s="46" t="n"/>
      <c r="Q27" s="115" t="n"/>
      <c r="R27" s="46" t="n"/>
      <c r="S27" s="46" t="n"/>
      <c r="T27" s="46" t="n"/>
      <c r="U27" s="46" t="n"/>
      <c r="V27" s="46" t="n"/>
      <c r="W27" s="46" t="n"/>
      <c r="X27" s="46" t="n"/>
      <c r="Y27" s="46" t="n"/>
      <c r="Z27" s="46" t="n"/>
    </row>
    <row r="28" ht="12.75" customHeight="1" s="162">
      <c r="A28" s="46" t="n"/>
      <c r="B28" s="46" t="n"/>
      <c r="C28" s="46" t="n"/>
      <c r="D28" s="46" t="n"/>
      <c r="E28" s="46" t="n"/>
      <c r="F28" s="46" t="n"/>
      <c r="G28" s="46" t="n"/>
      <c r="H28" s="46" t="n"/>
      <c r="I28" s="46" t="n"/>
      <c r="J28" s="46" t="n"/>
      <c r="K28" s="46" t="n"/>
      <c r="L28" s="46" t="n"/>
      <c r="M28" s="46" t="n"/>
      <c r="N28" s="46" t="n"/>
      <c r="O28" s="46" t="n"/>
      <c r="P28" s="46" t="n"/>
      <c r="Q28" s="115" t="n"/>
      <c r="R28" s="46" t="n"/>
      <c r="S28" s="46" t="n"/>
      <c r="T28" s="46" t="n"/>
      <c r="U28" s="46" t="n"/>
      <c r="V28" s="46" t="n"/>
      <c r="W28" s="46" t="n"/>
      <c r="X28" s="46" t="n"/>
      <c r="Y28" s="46" t="n"/>
      <c r="Z28" s="46" t="n"/>
    </row>
    <row r="29" ht="12.75" customHeight="1" s="162">
      <c r="A29" s="46" t="n"/>
      <c r="B29" s="46" t="n"/>
      <c r="C29" s="46" t="n"/>
      <c r="D29" s="46" t="n"/>
      <c r="E29" s="46" t="n"/>
      <c r="F29" s="46" t="n"/>
      <c r="G29" s="46" t="n"/>
      <c r="H29" s="46" t="n"/>
      <c r="I29" s="46" t="n"/>
      <c r="J29" s="46" t="n"/>
      <c r="K29" s="46" t="n"/>
      <c r="L29" s="46" t="n"/>
      <c r="M29" s="46" t="n"/>
      <c r="N29" s="46" t="n"/>
      <c r="O29" s="46" t="n"/>
      <c r="P29" s="46" t="n"/>
      <c r="Q29" s="115" t="n"/>
      <c r="R29" s="46" t="n"/>
      <c r="S29" s="46" t="n"/>
      <c r="T29" s="46" t="n"/>
      <c r="U29" s="46" t="n"/>
      <c r="V29" s="46" t="n"/>
      <c r="W29" s="46" t="n"/>
      <c r="X29" s="46" t="n"/>
      <c r="Y29" s="46" t="n"/>
      <c r="Z29" s="46" t="n"/>
    </row>
    <row r="30" ht="12.75" customHeight="1" s="162">
      <c r="A30" s="46" t="n"/>
      <c r="B30" s="46" t="n"/>
      <c r="C30" s="46" t="n"/>
      <c r="D30" s="46" t="n"/>
      <c r="E30" s="46" t="n"/>
      <c r="F30" s="46" t="n"/>
      <c r="G30" s="46" t="n"/>
      <c r="H30" s="46" t="n"/>
      <c r="I30" s="46" t="n"/>
      <c r="J30" s="46" t="n"/>
      <c r="K30" s="46" t="n"/>
      <c r="L30" s="46" t="n"/>
      <c r="M30" s="46" t="n"/>
      <c r="N30" s="46" t="n"/>
      <c r="O30" s="46" t="n"/>
      <c r="P30" s="46" t="n"/>
      <c r="Q30" s="115" t="n"/>
      <c r="R30" s="46" t="n"/>
      <c r="S30" s="46" t="n"/>
      <c r="T30" s="46" t="n"/>
      <c r="U30" s="46" t="n"/>
      <c r="V30" s="46" t="n"/>
      <c r="W30" s="46" t="n"/>
      <c r="X30" s="46" t="n"/>
      <c r="Y30" s="46" t="n"/>
      <c r="Z30" s="46" t="n"/>
    </row>
    <row r="31" ht="12.75" customHeight="1" s="162">
      <c r="A31" s="46" t="n"/>
      <c r="B31" s="46" t="n"/>
      <c r="C31" s="46" t="n"/>
      <c r="D31" s="46" t="n"/>
      <c r="E31" s="46" t="n"/>
      <c r="F31" s="46" t="n"/>
      <c r="G31" s="46" t="n"/>
      <c r="H31" s="46" t="n"/>
      <c r="I31" s="46" t="n"/>
      <c r="J31" s="46" t="n"/>
      <c r="K31" s="46" t="n"/>
      <c r="L31" s="46" t="n"/>
      <c r="M31" s="46" t="n"/>
      <c r="N31" s="46" t="n"/>
      <c r="O31" s="46" t="n"/>
      <c r="P31" s="46" t="n"/>
      <c r="Q31" s="115" t="n"/>
      <c r="R31" s="46" t="n"/>
      <c r="S31" s="46" t="n"/>
      <c r="T31" s="46" t="n"/>
      <c r="U31" s="46" t="n"/>
      <c r="V31" s="46" t="n"/>
      <c r="W31" s="46" t="n"/>
      <c r="X31" s="46" t="n"/>
      <c r="Y31" s="46" t="n"/>
      <c r="Z31" s="46" t="n"/>
    </row>
    <row r="32" ht="12.75" customHeight="1" s="162">
      <c r="A32" s="46" t="n"/>
      <c r="B32" s="46" t="n"/>
      <c r="C32" s="46" t="n"/>
      <c r="D32" s="46" t="n"/>
      <c r="E32" s="46" t="n"/>
      <c r="F32" s="46" t="n"/>
      <c r="G32" s="46" t="n"/>
      <c r="H32" s="46" t="n"/>
      <c r="I32" s="46" t="n"/>
      <c r="J32" s="46" t="n"/>
      <c r="K32" s="46" t="n"/>
      <c r="L32" s="46" t="n"/>
      <c r="M32" s="46" t="n"/>
      <c r="N32" s="46" t="n"/>
      <c r="O32" s="46" t="n"/>
      <c r="P32" s="46" t="n"/>
      <c r="Q32" s="115" t="n"/>
      <c r="R32" s="46" t="n"/>
      <c r="S32" s="46" t="n"/>
      <c r="T32" s="46" t="n"/>
      <c r="U32" s="46" t="n"/>
      <c r="V32" s="46" t="n"/>
      <c r="W32" s="46" t="n"/>
      <c r="X32" s="46" t="n"/>
      <c r="Y32" s="46" t="n"/>
      <c r="Z32" s="46" t="n"/>
    </row>
    <row r="33" ht="12.75" customHeight="1" s="162">
      <c r="A33" s="46" t="n"/>
      <c r="B33" s="46" t="n"/>
      <c r="C33" s="46" t="n"/>
      <c r="D33" s="46" t="n"/>
      <c r="E33" s="46" t="n"/>
      <c r="F33" s="46" t="n"/>
      <c r="G33" s="46" t="n"/>
      <c r="H33" s="46" t="n"/>
      <c r="I33" s="46" t="n"/>
      <c r="J33" s="46" t="n"/>
      <c r="K33" s="46" t="n"/>
      <c r="L33" s="46" t="n"/>
      <c r="M33" s="46" t="n"/>
      <c r="N33" s="46" t="n"/>
      <c r="O33" s="46" t="n"/>
      <c r="P33" s="46" t="n"/>
      <c r="Q33" s="115" t="n"/>
      <c r="R33" s="46" t="n"/>
      <c r="S33" s="46" t="n"/>
      <c r="T33" s="46" t="n"/>
      <c r="U33" s="46" t="n"/>
      <c r="V33" s="46" t="n"/>
      <c r="W33" s="46" t="n"/>
      <c r="X33" s="46" t="n"/>
      <c r="Y33" s="46" t="n"/>
      <c r="Z33" s="46" t="n"/>
    </row>
    <row r="34" ht="12.75" customHeight="1" s="162">
      <c r="A34" s="46" t="n"/>
      <c r="B34" s="46" t="n"/>
      <c r="C34" s="46" t="n"/>
      <c r="D34" s="46" t="n"/>
      <c r="E34" s="46" t="n"/>
      <c r="F34" s="46" t="n"/>
      <c r="G34" s="46" t="n"/>
      <c r="H34" s="46" t="n"/>
      <c r="I34" s="46" t="n"/>
      <c r="J34" s="46" t="n"/>
      <c r="K34" s="46" t="n"/>
      <c r="L34" s="46" t="n"/>
      <c r="M34" s="46" t="n"/>
      <c r="N34" s="46" t="n"/>
      <c r="O34" s="46" t="n"/>
      <c r="P34" s="46" t="n"/>
      <c r="Q34" s="115" t="n"/>
      <c r="R34" s="46" t="n"/>
      <c r="S34" s="46" t="n"/>
      <c r="T34" s="46" t="n"/>
      <c r="U34" s="46" t="n"/>
      <c r="V34" s="46" t="n"/>
      <c r="W34" s="46" t="n"/>
      <c r="X34" s="46" t="n"/>
      <c r="Y34" s="46" t="n"/>
      <c r="Z34" s="46" t="n"/>
    </row>
    <row r="35" ht="12.75" customHeight="1" s="162">
      <c r="A35" s="46" t="n"/>
      <c r="B35" s="46" t="n"/>
      <c r="C35" s="46" t="n"/>
      <c r="D35" s="46" t="n"/>
      <c r="E35" s="46" t="n"/>
      <c r="F35" s="46" t="n"/>
      <c r="G35" s="46" t="n"/>
      <c r="H35" s="46" t="n"/>
      <c r="I35" s="46" t="n"/>
      <c r="J35" s="46" t="n"/>
      <c r="K35" s="46" t="n"/>
      <c r="L35" s="46" t="n"/>
      <c r="M35" s="46" t="n"/>
      <c r="N35" s="46" t="n"/>
      <c r="O35" s="46" t="n"/>
      <c r="P35" s="46" t="n"/>
      <c r="Q35" s="115" t="n"/>
      <c r="R35" s="46" t="n"/>
      <c r="S35" s="46" t="n"/>
      <c r="T35" s="46" t="n"/>
      <c r="U35" s="46" t="n"/>
      <c r="V35" s="46" t="n"/>
      <c r="W35" s="46" t="n"/>
      <c r="X35" s="46" t="n"/>
      <c r="Y35" s="46" t="n"/>
      <c r="Z35" s="46" t="n"/>
    </row>
    <row r="36" ht="12.75" customHeight="1" s="162">
      <c r="A36" s="46" t="n"/>
      <c r="B36" s="46" t="n"/>
      <c r="C36" s="46" t="n"/>
      <c r="D36" s="46" t="n"/>
      <c r="E36" s="46" t="n"/>
      <c r="F36" s="46" t="n"/>
      <c r="G36" s="46" t="n"/>
      <c r="H36" s="46" t="n"/>
      <c r="I36" s="46" t="n"/>
      <c r="J36" s="46" t="n"/>
      <c r="K36" s="46" t="n"/>
      <c r="L36" s="46" t="n"/>
      <c r="M36" s="46" t="n"/>
      <c r="N36" s="46" t="n"/>
      <c r="O36" s="46" t="n"/>
      <c r="P36" s="46" t="n"/>
      <c r="Q36" s="115" t="n"/>
      <c r="R36" s="46" t="n"/>
      <c r="S36" s="46" t="n"/>
      <c r="T36" s="46" t="n"/>
      <c r="U36" s="46" t="n"/>
      <c r="V36" s="46" t="n"/>
      <c r="W36" s="46" t="n"/>
      <c r="X36" s="46" t="n"/>
      <c r="Y36" s="46" t="n"/>
      <c r="Z36" s="46" t="n"/>
    </row>
    <row r="37" ht="12.75" customHeight="1" s="162">
      <c r="A37" s="46" t="n"/>
      <c r="B37" s="46" t="n"/>
      <c r="C37" s="46" t="n"/>
      <c r="D37" s="46" t="n"/>
      <c r="E37" s="46" t="n"/>
      <c r="F37" s="46" t="n"/>
      <c r="G37" s="46" t="n"/>
      <c r="H37" s="46" t="n"/>
      <c r="I37" s="46" t="n"/>
      <c r="J37" s="46" t="n"/>
      <c r="K37" s="46" t="n"/>
      <c r="L37" s="46" t="n"/>
      <c r="M37" s="46" t="n"/>
      <c r="N37" s="46" t="n"/>
      <c r="O37" s="46" t="n"/>
      <c r="P37" s="46" t="n"/>
      <c r="Q37" s="115" t="n"/>
      <c r="R37" s="46" t="n"/>
      <c r="S37" s="46" t="n"/>
      <c r="T37" s="46" t="n"/>
      <c r="U37" s="46" t="n"/>
      <c r="V37" s="46" t="n"/>
      <c r="W37" s="46" t="n"/>
      <c r="X37" s="46" t="n"/>
      <c r="Y37" s="46" t="n"/>
      <c r="Z37" s="46" t="n"/>
    </row>
    <row r="38" ht="12.75" customHeight="1" s="162">
      <c r="A38" s="46" t="n"/>
      <c r="B38" s="46" t="n"/>
      <c r="C38" s="46" t="n"/>
      <c r="D38" s="46" t="n"/>
      <c r="E38" s="46" t="n"/>
      <c r="F38" s="46" t="n"/>
      <c r="G38" s="46" t="n"/>
      <c r="H38" s="46" t="n"/>
      <c r="I38" s="46" t="n"/>
      <c r="J38" s="46" t="n"/>
      <c r="K38" s="46" t="n"/>
      <c r="L38" s="46" t="n"/>
      <c r="M38" s="46" t="n"/>
      <c r="N38" s="46" t="n"/>
      <c r="O38" s="46" t="n"/>
      <c r="P38" s="46" t="n"/>
      <c r="Q38" s="115" t="n"/>
      <c r="R38" s="46" t="n"/>
      <c r="S38" s="46" t="n"/>
      <c r="T38" s="46" t="n"/>
      <c r="U38" s="46" t="n"/>
      <c r="V38" s="46" t="n"/>
      <c r="W38" s="46" t="n"/>
      <c r="X38" s="46" t="n"/>
      <c r="Y38" s="46" t="n"/>
      <c r="Z38" s="46" t="n"/>
    </row>
    <row r="39" ht="12.75" customHeight="1" s="162">
      <c r="A39" s="46" t="n"/>
      <c r="B39" s="46" t="n"/>
      <c r="C39" s="46" t="n"/>
      <c r="D39" s="46" t="n"/>
      <c r="E39" s="46" t="n"/>
      <c r="F39" s="46" t="n"/>
      <c r="G39" s="46" t="n"/>
      <c r="H39" s="46" t="n"/>
      <c r="I39" s="46" t="n"/>
      <c r="J39" s="46" t="n"/>
      <c r="K39" s="46" t="n"/>
      <c r="L39" s="46" t="n"/>
      <c r="M39" s="46" t="n"/>
      <c r="N39" s="46" t="n"/>
      <c r="O39" s="46" t="n"/>
      <c r="P39" s="46" t="n"/>
      <c r="Q39" s="115" t="n"/>
      <c r="R39" s="46" t="n"/>
      <c r="S39" s="46" t="n"/>
      <c r="T39" s="46" t="n"/>
      <c r="U39" s="46" t="n"/>
      <c r="V39" s="46" t="n"/>
      <c r="W39" s="46" t="n"/>
      <c r="X39" s="46" t="n"/>
      <c r="Y39" s="46" t="n"/>
      <c r="Z39" s="46" t="n"/>
    </row>
    <row r="40" ht="12.75" customHeight="1" s="162">
      <c r="A40" s="46" t="n"/>
      <c r="B40" s="46" t="n"/>
      <c r="C40" s="46" t="n"/>
      <c r="D40" s="46" t="n"/>
      <c r="E40" s="46" t="n"/>
      <c r="F40" s="46" t="n"/>
      <c r="G40" s="46" t="n"/>
      <c r="H40" s="46" t="n"/>
      <c r="I40" s="46" t="n"/>
      <c r="J40" s="46" t="n"/>
      <c r="K40" s="46" t="n"/>
      <c r="L40" s="46" t="n"/>
      <c r="M40" s="46" t="n"/>
      <c r="N40" s="46" t="n"/>
      <c r="O40" s="46" t="n"/>
      <c r="P40" s="46" t="n"/>
      <c r="Q40" s="115" t="n"/>
      <c r="R40" s="46" t="n"/>
      <c r="S40" s="46" t="n"/>
      <c r="T40" s="46" t="n"/>
      <c r="U40" s="46" t="n"/>
      <c r="V40" s="46" t="n"/>
      <c r="W40" s="46" t="n"/>
      <c r="X40" s="46" t="n"/>
      <c r="Y40" s="46" t="n"/>
      <c r="Z40" s="46" t="n"/>
    </row>
    <row r="41" ht="12.75" customHeight="1" s="162">
      <c r="A41" s="46" t="n"/>
      <c r="B41" s="46" t="n"/>
      <c r="C41" s="46" t="n"/>
      <c r="D41" s="46" t="n"/>
      <c r="E41" s="46" t="n"/>
      <c r="F41" s="46" t="n"/>
      <c r="G41" s="46" t="n"/>
      <c r="H41" s="46" t="n"/>
      <c r="I41" s="46" t="n"/>
      <c r="J41" s="46" t="n"/>
      <c r="K41" s="46" t="n"/>
      <c r="L41" s="46" t="n"/>
      <c r="M41" s="46" t="n"/>
      <c r="N41" s="46" t="n"/>
      <c r="O41" s="46" t="n"/>
      <c r="P41" s="46" t="n"/>
      <c r="Q41" s="115" t="n"/>
      <c r="R41" s="46" t="n"/>
      <c r="S41" s="46" t="n"/>
      <c r="T41" s="46" t="n"/>
      <c r="U41" s="46" t="n"/>
      <c r="V41" s="46" t="n"/>
      <c r="W41" s="46" t="n"/>
      <c r="X41" s="46" t="n"/>
      <c r="Y41" s="46" t="n"/>
      <c r="Z41" s="46" t="n"/>
    </row>
    <row r="42" ht="12.75" customHeight="1" s="162">
      <c r="A42" s="46" t="n"/>
      <c r="B42" s="46" t="n"/>
      <c r="C42" s="46" t="n"/>
      <c r="D42" s="46" t="n"/>
      <c r="E42" s="46" t="n"/>
      <c r="F42" s="46" t="n"/>
      <c r="G42" s="46" t="n"/>
      <c r="H42" s="46" t="n"/>
      <c r="I42" s="46" t="n"/>
      <c r="J42" s="46" t="n"/>
      <c r="K42" s="46" t="n"/>
      <c r="L42" s="46" t="n"/>
      <c r="M42" s="46" t="n"/>
      <c r="N42" s="46" t="n"/>
      <c r="O42" s="46" t="n"/>
      <c r="P42" s="46" t="n"/>
      <c r="Q42" s="115" t="n"/>
      <c r="R42" s="46" t="n"/>
      <c r="S42" s="46" t="n"/>
      <c r="T42" s="46" t="n"/>
      <c r="U42" s="46" t="n"/>
      <c r="V42" s="46" t="n"/>
      <c r="W42" s="46" t="n"/>
      <c r="X42" s="46" t="n"/>
      <c r="Y42" s="46" t="n"/>
      <c r="Z42" s="46" t="n"/>
    </row>
    <row r="43" ht="12.75" customHeight="1" s="162">
      <c r="A43" s="46" t="n"/>
      <c r="B43" s="46" t="n"/>
      <c r="C43" s="46" t="n"/>
      <c r="D43" s="46" t="n"/>
      <c r="E43" s="46" t="n"/>
      <c r="F43" s="46" t="n"/>
      <c r="G43" s="46" t="n"/>
      <c r="H43" s="46" t="n"/>
      <c r="I43" s="46" t="n"/>
      <c r="J43" s="46" t="n"/>
      <c r="K43" s="46" t="n"/>
      <c r="L43" s="46" t="n"/>
      <c r="M43" s="46" t="n"/>
      <c r="N43" s="46" t="n"/>
      <c r="O43" s="46" t="n"/>
      <c r="P43" s="46" t="n"/>
      <c r="Q43" s="115" t="n"/>
      <c r="R43" s="46" t="n"/>
      <c r="S43" s="46" t="n"/>
      <c r="T43" s="46" t="n"/>
      <c r="U43" s="46" t="n"/>
      <c r="V43" s="46" t="n"/>
      <c r="W43" s="46" t="n"/>
      <c r="X43" s="46" t="n"/>
      <c r="Y43" s="46" t="n"/>
      <c r="Z43" s="46" t="n"/>
    </row>
    <row r="44" ht="12.75" customHeight="1" s="162">
      <c r="A44" s="46" t="n"/>
      <c r="B44" s="46" t="n"/>
      <c r="C44" s="46" t="n"/>
      <c r="D44" s="46" t="n"/>
      <c r="E44" s="46" t="n"/>
      <c r="F44" s="46" t="n"/>
      <c r="G44" s="46" t="n"/>
      <c r="H44" s="46" t="n"/>
      <c r="I44" s="46" t="n"/>
      <c r="J44" s="46" t="n"/>
      <c r="K44" s="46" t="n"/>
      <c r="L44" s="46" t="n"/>
      <c r="M44" s="46" t="n"/>
      <c r="N44" s="46" t="n"/>
      <c r="O44" s="46" t="n"/>
      <c r="P44" s="46" t="n"/>
      <c r="Q44" s="115" t="n"/>
      <c r="R44" s="46" t="n"/>
      <c r="S44" s="46" t="n"/>
      <c r="T44" s="46" t="n"/>
      <c r="U44" s="46" t="n"/>
      <c r="V44" s="46" t="n"/>
      <c r="W44" s="46" t="n"/>
      <c r="X44" s="46" t="n"/>
      <c r="Y44" s="46" t="n"/>
      <c r="Z44" s="46" t="n"/>
    </row>
    <row r="45" ht="12.75" customHeight="1" s="162">
      <c r="A45" s="46" t="n"/>
      <c r="B45" s="46" t="n"/>
      <c r="C45" s="46" t="n"/>
      <c r="D45" s="46" t="n"/>
      <c r="E45" s="46" t="n"/>
      <c r="F45" s="46" t="n"/>
      <c r="G45" s="46" t="n"/>
      <c r="H45" s="46" t="n"/>
      <c r="I45" s="46" t="n"/>
      <c r="J45" s="46" t="n"/>
      <c r="K45" s="46" t="n"/>
      <c r="L45" s="46" t="n"/>
      <c r="M45" s="46" t="n"/>
      <c r="N45" s="46" t="n"/>
      <c r="O45" s="46" t="n"/>
      <c r="P45" s="46" t="n"/>
      <c r="Q45" s="115" t="n"/>
      <c r="R45" s="46" t="n"/>
      <c r="S45" s="46" t="n"/>
      <c r="T45" s="46" t="n"/>
      <c r="U45" s="46" t="n"/>
      <c r="V45" s="46" t="n"/>
      <c r="W45" s="46" t="n"/>
      <c r="X45" s="46" t="n"/>
      <c r="Y45" s="46" t="n"/>
      <c r="Z45" s="46" t="n"/>
    </row>
    <row r="46" ht="12.75" customHeight="1" s="162">
      <c r="A46" s="46" t="n"/>
      <c r="B46" s="46" t="n"/>
      <c r="C46" s="46" t="n"/>
      <c r="D46" s="46" t="n"/>
      <c r="E46" s="46" t="n"/>
      <c r="F46" s="46" t="n"/>
      <c r="G46" s="46" t="n"/>
      <c r="H46" s="46" t="n"/>
      <c r="I46" s="46" t="n"/>
      <c r="J46" s="46" t="n"/>
      <c r="K46" s="46" t="n"/>
      <c r="L46" s="46" t="n"/>
      <c r="M46" s="46" t="n"/>
      <c r="N46" s="46" t="n"/>
      <c r="O46" s="46" t="n"/>
      <c r="P46" s="46" t="n"/>
      <c r="Q46" s="115" t="n"/>
      <c r="R46" s="46" t="n"/>
      <c r="S46" s="46" t="n"/>
      <c r="T46" s="46" t="n"/>
      <c r="U46" s="46" t="n"/>
      <c r="V46" s="46" t="n"/>
      <c r="W46" s="46" t="n"/>
      <c r="X46" s="46" t="n"/>
      <c r="Y46" s="46" t="n"/>
      <c r="Z46" s="46" t="n"/>
    </row>
    <row r="47" ht="12.75" customHeight="1" s="162">
      <c r="A47" s="46" t="n"/>
      <c r="B47" s="46" t="n"/>
      <c r="C47" s="46" t="n"/>
      <c r="D47" s="46" t="n"/>
      <c r="E47" s="46" t="n"/>
      <c r="F47" s="46" t="n"/>
      <c r="G47" s="46" t="n"/>
      <c r="H47" s="46" t="n"/>
      <c r="I47" s="46" t="n"/>
      <c r="J47" s="46" t="n"/>
      <c r="K47" s="46" t="n"/>
      <c r="L47" s="46" t="n"/>
      <c r="M47" s="46" t="n"/>
      <c r="N47" s="46" t="n"/>
      <c r="O47" s="46" t="n"/>
      <c r="P47" s="46" t="n"/>
      <c r="Q47" s="115" t="n"/>
      <c r="R47" s="46" t="n"/>
      <c r="S47" s="46" t="n"/>
      <c r="T47" s="46" t="n"/>
      <c r="U47" s="46" t="n"/>
      <c r="V47" s="46" t="n"/>
      <c r="W47" s="46" t="n"/>
      <c r="X47" s="46" t="n"/>
      <c r="Y47" s="46" t="n"/>
      <c r="Z47" s="46" t="n"/>
    </row>
    <row r="48" ht="12.75" customHeight="1" s="162">
      <c r="A48" s="46" t="n"/>
      <c r="B48" s="46" t="n"/>
      <c r="C48" s="46" t="n"/>
      <c r="D48" s="46" t="n"/>
      <c r="E48" s="46" t="n"/>
      <c r="F48" s="46" t="n"/>
      <c r="G48" s="46" t="n"/>
      <c r="H48" s="46" t="n"/>
      <c r="I48" s="46" t="n"/>
      <c r="J48" s="46" t="n"/>
      <c r="K48" s="46" t="n"/>
      <c r="L48" s="46" t="n"/>
      <c r="M48" s="46" t="n"/>
      <c r="N48" s="46" t="n"/>
      <c r="O48" s="46" t="n"/>
      <c r="P48" s="46" t="n"/>
      <c r="Q48" s="115" t="n"/>
      <c r="R48" s="46" t="n"/>
      <c r="S48" s="46" t="n"/>
      <c r="T48" s="46" t="n"/>
      <c r="U48" s="46" t="n"/>
      <c r="V48" s="46" t="n"/>
      <c r="W48" s="46" t="n"/>
      <c r="X48" s="46" t="n"/>
      <c r="Y48" s="46" t="n"/>
      <c r="Z48" s="46" t="n"/>
    </row>
    <row r="49" ht="12.75" customHeight="1" s="162">
      <c r="A49" s="46" t="n"/>
      <c r="B49" s="46" t="n"/>
      <c r="C49" s="46" t="n"/>
      <c r="D49" s="46" t="n"/>
      <c r="E49" s="46" t="n"/>
      <c r="F49" s="46" t="n"/>
      <c r="G49" s="46" t="n"/>
      <c r="H49" s="46" t="n"/>
      <c r="I49" s="46" t="n"/>
      <c r="J49" s="46" t="n"/>
      <c r="K49" s="46" t="n"/>
      <c r="L49" s="46" t="n"/>
      <c r="M49" s="46" t="n"/>
      <c r="N49" s="46" t="n"/>
      <c r="O49" s="46" t="n"/>
      <c r="P49" s="46" t="n"/>
      <c r="Q49" s="115" t="n"/>
      <c r="R49" s="46" t="n"/>
      <c r="S49" s="46" t="n"/>
      <c r="T49" s="46" t="n"/>
      <c r="U49" s="46" t="n"/>
      <c r="V49" s="46" t="n"/>
      <c r="W49" s="46" t="n"/>
      <c r="X49" s="46" t="n"/>
      <c r="Y49" s="46" t="n"/>
      <c r="Z49" s="46" t="n"/>
    </row>
    <row r="50" ht="12.75" customHeight="1" s="162">
      <c r="A50" s="46" t="n"/>
      <c r="B50" s="46" t="n"/>
      <c r="C50" s="46" t="n"/>
      <c r="D50" s="46" t="n"/>
      <c r="E50" s="46" t="n"/>
      <c r="F50" s="46" t="n"/>
      <c r="G50" s="46" t="n"/>
      <c r="H50" s="46" t="n"/>
      <c r="I50" s="46" t="n"/>
      <c r="J50" s="46" t="n"/>
      <c r="K50" s="46" t="n"/>
      <c r="L50" s="46" t="n"/>
      <c r="M50" s="46" t="n"/>
      <c r="N50" s="46" t="n"/>
      <c r="O50" s="46" t="n"/>
      <c r="P50" s="46" t="n"/>
      <c r="Q50" s="115" t="n"/>
      <c r="R50" s="46" t="n"/>
      <c r="S50" s="46" t="n"/>
      <c r="T50" s="46" t="n"/>
      <c r="U50" s="46" t="n"/>
      <c r="V50" s="46" t="n"/>
      <c r="W50" s="46" t="n"/>
      <c r="X50" s="46" t="n"/>
      <c r="Y50" s="46" t="n"/>
      <c r="Z50" s="46" t="n"/>
    </row>
    <row r="51" ht="12.75" customHeight="1" s="162">
      <c r="A51" s="46" t="n"/>
      <c r="B51" s="46" t="n"/>
      <c r="C51" s="46" t="n"/>
      <c r="D51" s="46" t="n"/>
      <c r="E51" s="46" t="n"/>
      <c r="F51" s="46" t="n"/>
      <c r="G51" s="46" t="n"/>
      <c r="H51" s="46" t="n"/>
      <c r="I51" s="46" t="n"/>
      <c r="J51" s="46" t="n"/>
      <c r="K51" s="46" t="n"/>
      <c r="L51" s="46" t="n"/>
      <c r="M51" s="46" t="n"/>
      <c r="N51" s="46" t="n"/>
      <c r="O51" s="46" t="n"/>
      <c r="P51" s="46" t="n"/>
      <c r="Q51" s="115" t="n"/>
      <c r="R51" s="46" t="n"/>
      <c r="S51" s="46" t="n"/>
      <c r="T51" s="46" t="n"/>
      <c r="U51" s="46" t="n"/>
      <c r="V51" s="46" t="n"/>
      <c r="W51" s="46" t="n"/>
      <c r="X51" s="46" t="n"/>
      <c r="Y51" s="46" t="n"/>
      <c r="Z51" s="46" t="n"/>
    </row>
    <row r="52" ht="12.75" customHeight="1" s="162">
      <c r="A52" s="46" t="n"/>
      <c r="B52" s="46" t="n"/>
      <c r="C52" s="46" t="n"/>
      <c r="D52" s="46" t="n"/>
      <c r="E52" s="46" t="n"/>
      <c r="F52" s="46" t="n"/>
      <c r="G52" s="46" t="n"/>
      <c r="H52" s="46" t="n"/>
      <c r="I52" s="46" t="n"/>
      <c r="J52" s="46" t="n"/>
      <c r="K52" s="46" t="n"/>
      <c r="L52" s="46" t="n"/>
      <c r="M52" s="46" t="n"/>
      <c r="N52" s="46" t="n"/>
      <c r="O52" s="46" t="n"/>
      <c r="P52" s="46" t="n"/>
      <c r="Q52" s="115" t="n"/>
      <c r="R52" s="46" t="n"/>
      <c r="S52" s="46" t="n"/>
      <c r="T52" s="46" t="n"/>
      <c r="U52" s="46" t="n"/>
      <c r="V52" s="46" t="n"/>
      <c r="W52" s="46" t="n"/>
      <c r="X52" s="46" t="n"/>
      <c r="Y52" s="46" t="n"/>
      <c r="Z52" s="46" t="n"/>
    </row>
    <row r="53" ht="12.75" customHeight="1" s="162">
      <c r="A53" s="46" t="n"/>
      <c r="B53" s="46" t="n"/>
      <c r="C53" s="46" t="n"/>
      <c r="D53" s="46" t="n"/>
      <c r="E53" s="46" t="n"/>
      <c r="F53" s="46" t="n"/>
      <c r="G53" s="46" t="n"/>
      <c r="H53" s="46" t="n"/>
      <c r="I53" s="46" t="n"/>
      <c r="J53" s="46" t="n"/>
      <c r="K53" s="46" t="n"/>
      <c r="L53" s="46" t="n"/>
      <c r="M53" s="46" t="n"/>
      <c r="N53" s="46" t="n"/>
      <c r="O53" s="46" t="n"/>
      <c r="P53" s="46" t="n"/>
      <c r="Q53" s="115" t="n"/>
      <c r="R53" s="46" t="n"/>
      <c r="S53" s="46" t="n"/>
      <c r="T53" s="46" t="n"/>
      <c r="U53" s="46" t="n"/>
      <c r="V53" s="46" t="n"/>
      <c r="W53" s="46" t="n"/>
      <c r="X53" s="46" t="n"/>
      <c r="Y53" s="46" t="n"/>
      <c r="Z53" s="46" t="n"/>
    </row>
    <row r="54" ht="12.75" customHeight="1" s="162">
      <c r="A54" s="46" t="n"/>
      <c r="B54" s="46" t="n"/>
      <c r="C54" s="46" t="n"/>
      <c r="D54" s="46" t="n"/>
      <c r="E54" s="46" t="n"/>
      <c r="F54" s="46" t="n"/>
      <c r="G54" s="46" t="n"/>
      <c r="H54" s="46" t="n"/>
      <c r="I54" s="46" t="n"/>
      <c r="J54" s="46" t="n"/>
      <c r="K54" s="46" t="n"/>
      <c r="L54" s="46" t="n"/>
      <c r="M54" s="46" t="n"/>
      <c r="N54" s="46" t="n"/>
      <c r="O54" s="46" t="n"/>
      <c r="P54" s="46" t="n"/>
      <c r="Q54" s="115" t="n"/>
      <c r="R54" s="46" t="n"/>
      <c r="S54" s="46" t="n"/>
      <c r="T54" s="46" t="n"/>
      <c r="U54" s="46" t="n"/>
      <c r="V54" s="46" t="n"/>
      <c r="W54" s="46" t="n"/>
      <c r="X54" s="46" t="n"/>
      <c r="Y54" s="46" t="n"/>
      <c r="Z54" s="46" t="n"/>
    </row>
    <row r="55" ht="12.75" customHeight="1" s="162">
      <c r="A55" s="46" t="n"/>
      <c r="B55" s="46" t="n"/>
      <c r="C55" s="46" t="n"/>
      <c r="D55" s="46" t="n"/>
      <c r="E55" s="46" t="n"/>
      <c r="F55" s="46" t="n"/>
      <c r="G55" s="46" t="n"/>
      <c r="H55" s="46" t="n"/>
      <c r="I55" s="46" t="n"/>
      <c r="J55" s="46" t="n"/>
      <c r="K55" s="46" t="n"/>
      <c r="L55" s="46" t="n"/>
      <c r="M55" s="46" t="n"/>
      <c r="N55" s="46" t="n"/>
      <c r="O55" s="46" t="n"/>
      <c r="P55" s="46" t="n"/>
      <c r="Q55" s="115" t="n"/>
      <c r="R55" s="46" t="n"/>
      <c r="S55" s="46" t="n"/>
      <c r="T55" s="46" t="n"/>
      <c r="U55" s="46" t="n"/>
      <c r="V55" s="46" t="n"/>
      <c r="W55" s="46" t="n"/>
      <c r="X55" s="46" t="n"/>
      <c r="Y55" s="46" t="n"/>
      <c r="Z55" s="46" t="n"/>
    </row>
    <row r="56" ht="12.75" customHeight="1" s="162">
      <c r="A56" s="46" t="n"/>
      <c r="B56" s="46" t="n"/>
      <c r="C56" s="46" t="n"/>
      <c r="D56" s="46" t="n"/>
      <c r="E56" s="46" t="n"/>
      <c r="F56" s="46" t="n"/>
      <c r="G56" s="46" t="n"/>
      <c r="H56" s="46" t="n"/>
      <c r="I56" s="46" t="n"/>
      <c r="J56" s="46" t="n"/>
      <c r="K56" s="46" t="n"/>
      <c r="L56" s="46" t="n"/>
      <c r="M56" s="46" t="n"/>
      <c r="N56" s="46" t="n"/>
      <c r="O56" s="46" t="n"/>
      <c r="P56" s="46" t="n"/>
      <c r="Q56" s="115" t="n"/>
      <c r="R56" s="46" t="n"/>
      <c r="S56" s="46" t="n"/>
      <c r="T56" s="46" t="n"/>
      <c r="U56" s="46" t="n"/>
      <c r="V56" s="46" t="n"/>
      <c r="W56" s="46" t="n"/>
      <c r="X56" s="46" t="n"/>
      <c r="Y56" s="46" t="n"/>
      <c r="Z56" s="46" t="n"/>
    </row>
    <row r="57" ht="12.75" customHeight="1" s="162">
      <c r="A57" s="46" t="n"/>
      <c r="B57" s="46" t="n"/>
      <c r="C57" s="46" t="n"/>
      <c r="D57" s="46" t="n"/>
      <c r="E57" s="46" t="n"/>
      <c r="F57" s="46" t="n"/>
      <c r="G57" s="46" t="n"/>
      <c r="H57" s="46" t="n"/>
      <c r="I57" s="46" t="n"/>
      <c r="J57" s="46" t="n"/>
      <c r="K57" s="46" t="n"/>
      <c r="L57" s="46" t="n"/>
      <c r="M57" s="46" t="n"/>
      <c r="N57" s="46" t="n"/>
      <c r="O57" s="46" t="n"/>
      <c r="P57" s="46" t="n"/>
      <c r="Q57" s="115" t="n"/>
      <c r="R57" s="46" t="n"/>
      <c r="S57" s="46" t="n"/>
      <c r="T57" s="46" t="n"/>
      <c r="U57" s="46" t="n"/>
      <c r="V57" s="46" t="n"/>
      <c r="W57" s="46" t="n"/>
      <c r="X57" s="46" t="n"/>
      <c r="Y57" s="46" t="n"/>
      <c r="Z57" s="46" t="n"/>
    </row>
    <row r="58" ht="12.75" customHeight="1" s="162">
      <c r="A58" s="46" t="n"/>
      <c r="B58" s="46" t="n"/>
      <c r="C58" s="46" t="n"/>
      <c r="D58" s="46" t="n"/>
      <c r="E58" s="46" t="n"/>
      <c r="F58" s="46" t="n"/>
      <c r="G58" s="46" t="n"/>
      <c r="H58" s="46" t="n"/>
      <c r="I58" s="46" t="n"/>
      <c r="J58" s="46" t="n"/>
      <c r="K58" s="46" t="n"/>
      <c r="L58" s="46" t="n"/>
      <c r="M58" s="46" t="n"/>
      <c r="N58" s="46" t="n"/>
      <c r="O58" s="46" t="n"/>
      <c r="P58" s="46" t="n"/>
      <c r="Q58" s="115" t="n"/>
      <c r="R58" s="46" t="n"/>
      <c r="S58" s="46" t="n"/>
      <c r="T58" s="46" t="n"/>
      <c r="U58" s="46" t="n"/>
      <c r="V58" s="46" t="n"/>
      <c r="W58" s="46" t="n"/>
      <c r="X58" s="46" t="n"/>
      <c r="Y58" s="46" t="n"/>
      <c r="Z58" s="46" t="n"/>
    </row>
    <row r="59" ht="12.75" customHeight="1" s="162">
      <c r="A59" s="46" t="n"/>
      <c r="B59" s="46" t="n"/>
      <c r="C59" s="46" t="n"/>
      <c r="D59" s="46" t="n"/>
      <c r="E59" s="46" t="n"/>
      <c r="F59" s="46" t="n"/>
      <c r="G59" s="46" t="n"/>
      <c r="H59" s="46" t="n"/>
      <c r="I59" s="46" t="n"/>
      <c r="J59" s="46" t="n"/>
      <c r="K59" s="46" t="n"/>
      <c r="L59" s="46" t="n"/>
      <c r="M59" s="46" t="n"/>
      <c r="N59" s="46" t="n"/>
      <c r="O59" s="46" t="n"/>
      <c r="P59" s="46" t="n"/>
      <c r="Q59" s="115" t="n"/>
      <c r="R59" s="46" t="n"/>
      <c r="S59" s="46" t="n"/>
      <c r="T59" s="46" t="n"/>
      <c r="U59" s="46" t="n"/>
      <c r="V59" s="46" t="n"/>
      <c r="W59" s="46" t="n"/>
      <c r="X59" s="46" t="n"/>
      <c r="Y59" s="46" t="n"/>
      <c r="Z59" s="46" t="n"/>
    </row>
    <row r="60" ht="12.75" customHeight="1" s="162">
      <c r="A60" s="46" t="n"/>
      <c r="B60" s="46" t="n"/>
      <c r="C60" s="46" t="n"/>
      <c r="D60" s="46" t="n"/>
      <c r="E60" s="46" t="n"/>
      <c r="F60" s="46" t="n"/>
      <c r="G60" s="46" t="n"/>
      <c r="H60" s="46" t="n"/>
      <c r="I60" s="46" t="n"/>
      <c r="J60" s="46" t="n"/>
      <c r="K60" s="46" t="n"/>
      <c r="L60" s="46" t="n"/>
      <c r="M60" s="46" t="n"/>
      <c r="N60" s="46" t="n"/>
      <c r="O60" s="46" t="n"/>
      <c r="P60" s="46" t="n"/>
      <c r="Q60" s="115" t="n"/>
      <c r="R60" s="46" t="n"/>
      <c r="S60" s="46" t="n"/>
      <c r="T60" s="46" t="n"/>
      <c r="U60" s="46" t="n"/>
      <c r="V60" s="46" t="n"/>
      <c r="W60" s="46" t="n"/>
      <c r="X60" s="46" t="n"/>
      <c r="Y60" s="46" t="n"/>
      <c r="Z60" s="46" t="n"/>
    </row>
    <row r="61" ht="12.75" customHeight="1" s="162">
      <c r="A61" s="46" t="n"/>
      <c r="B61" s="46" t="n"/>
      <c r="C61" s="46" t="n"/>
      <c r="D61" s="46" t="n"/>
      <c r="E61" s="46" t="n"/>
      <c r="F61" s="46" t="n"/>
      <c r="G61" s="46" t="n"/>
      <c r="H61" s="46" t="n"/>
      <c r="I61" s="46" t="n"/>
      <c r="J61" s="46" t="n"/>
      <c r="K61" s="46" t="n"/>
      <c r="L61" s="46" t="n"/>
      <c r="M61" s="46" t="n"/>
      <c r="N61" s="46" t="n"/>
      <c r="O61" s="46" t="n"/>
      <c r="P61" s="46" t="n"/>
      <c r="Q61" s="115" t="n"/>
      <c r="R61" s="46" t="n"/>
      <c r="S61" s="46" t="n"/>
      <c r="T61" s="46" t="n"/>
      <c r="U61" s="46" t="n"/>
      <c r="V61" s="46" t="n"/>
      <c r="W61" s="46" t="n"/>
      <c r="X61" s="46" t="n"/>
      <c r="Y61" s="46" t="n"/>
      <c r="Z61" s="46" t="n"/>
    </row>
    <row r="62" ht="12.75" customHeight="1" s="162">
      <c r="A62" s="46" t="n"/>
      <c r="B62" s="46" t="n"/>
      <c r="C62" s="46" t="n"/>
      <c r="D62" s="46" t="n"/>
      <c r="E62" s="46" t="n"/>
      <c r="F62" s="46" t="n"/>
      <c r="G62" s="46" t="n"/>
      <c r="H62" s="46" t="n"/>
      <c r="I62" s="46" t="n"/>
      <c r="J62" s="46" t="n"/>
      <c r="K62" s="46" t="n"/>
      <c r="L62" s="46" t="n"/>
      <c r="M62" s="46" t="n"/>
      <c r="N62" s="46" t="n"/>
      <c r="O62" s="46" t="n"/>
      <c r="P62" s="46" t="n"/>
      <c r="Q62" s="115" t="n"/>
      <c r="R62" s="46" t="n"/>
      <c r="S62" s="46" t="n"/>
      <c r="T62" s="46" t="n"/>
      <c r="U62" s="46" t="n"/>
      <c r="V62" s="46" t="n"/>
      <c r="W62" s="46" t="n"/>
      <c r="X62" s="46" t="n"/>
      <c r="Y62" s="46" t="n"/>
      <c r="Z62" s="46" t="n"/>
    </row>
    <row r="63" ht="12.75" customHeight="1" s="162">
      <c r="A63" s="46" t="n"/>
      <c r="B63" s="46" t="n"/>
      <c r="C63" s="46" t="n"/>
      <c r="D63" s="46" t="n"/>
      <c r="E63" s="46" t="n"/>
      <c r="F63" s="46" t="n"/>
      <c r="G63" s="46" t="n"/>
      <c r="H63" s="46" t="n"/>
      <c r="I63" s="46" t="n"/>
      <c r="J63" s="46" t="n"/>
      <c r="K63" s="46" t="n"/>
      <c r="L63" s="46" t="n"/>
      <c r="M63" s="46" t="n"/>
      <c r="N63" s="46" t="n"/>
      <c r="O63" s="46" t="n"/>
      <c r="P63" s="46" t="n"/>
      <c r="Q63" s="115" t="n"/>
      <c r="R63" s="46" t="n"/>
      <c r="S63" s="46" t="n"/>
      <c r="T63" s="46" t="n"/>
      <c r="U63" s="46" t="n"/>
      <c r="V63" s="46" t="n"/>
      <c r="W63" s="46" t="n"/>
      <c r="X63" s="46" t="n"/>
      <c r="Y63" s="46" t="n"/>
      <c r="Z63" s="46" t="n"/>
    </row>
    <row r="64" ht="12.75" customHeight="1" s="162">
      <c r="A64" s="46" t="n"/>
      <c r="B64" s="46" t="n"/>
      <c r="C64" s="46" t="n"/>
      <c r="D64" s="46" t="n"/>
      <c r="E64" s="46" t="n"/>
      <c r="F64" s="46" t="n"/>
      <c r="G64" s="46" t="n"/>
      <c r="H64" s="46" t="n"/>
      <c r="I64" s="46" t="n"/>
      <c r="J64" s="46" t="n"/>
      <c r="K64" s="46" t="n"/>
      <c r="L64" s="46" t="n"/>
      <c r="M64" s="46" t="n"/>
      <c r="N64" s="46" t="n"/>
      <c r="O64" s="46" t="n"/>
      <c r="P64" s="46" t="n"/>
      <c r="Q64" s="115" t="n"/>
      <c r="R64" s="46" t="n"/>
      <c r="S64" s="46" t="n"/>
      <c r="T64" s="46" t="n"/>
      <c r="U64" s="46" t="n"/>
      <c r="V64" s="46" t="n"/>
      <c r="W64" s="46" t="n"/>
      <c r="X64" s="46" t="n"/>
      <c r="Y64" s="46" t="n"/>
      <c r="Z64" s="46" t="n"/>
    </row>
    <row r="65" ht="12.75" customHeight="1" s="162">
      <c r="A65" s="46" t="n"/>
      <c r="B65" s="46" t="n"/>
      <c r="C65" s="46" t="n"/>
      <c r="D65" s="46" t="n"/>
      <c r="E65" s="46" t="n"/>
      <c r="F65" s="46" t="n"/>
      <c r="G65" s="46" t="n"/>
      <c r="H65" s="46" t="n"/>
      <c r="I65" s="46" t="n"/>
      <c r="J65" s="46" t="n"/>
      <c r="K65" s="46" t="n"/>
      <c r="L65" s="46" t="n"/>
      <c r="M65" s="46" t="n"/>
      <c r="N65" s="46" t="n"/>
      <c r="O65" s="46" t="n"/>
      <c r="P65" s="46" t="n"/>
      <c r="Q65" s="115" t="n"/>
      <c r="R65" s="46" t="n"/>
      <c r="S65" s="46" t="n"/>
      <c r="T65" s="46" t="n"/>
      <c r="U65" s="46" t="n"/>
      <c r="V65" s="46" t="n"/>
      <c r="W65" s="46" t="n"/>
      <c r="X65" s="46" t="n"/>
      <c r="Y65" s="46" t="n"/>
      <c r="Z65" s="46" t="n"/>
    </row>
    <row r="66" ht="12.75" customHeight="1" s="162">
      <c r="A66" s="46" t="n"/>
      <c r="B66" s="46" t="n"/>
      <c r="C66" s="46" t="n"/>
      <c r="D66" s="46" t="n"/>
      <c r="E66" s="46" t="n"/>
      <c r="F66" s="46" t="n"/>
      <c r="G66" s="46" t="n"/>
      <c r="H66" s="46" t="n"/>
      <c r="I66" s="46" t="n"/>
      <c r="J66" s="46" t="n"/>
      <c r="K66" s="46" t="n"/>
      <c r="L66" s="46" t="n"/>
      <c r="M66" s="46" t="n"/>
      <c r="N66" s="46" t="n"/>
      <c r="O66" s="46" t="n"/>
      <c r="P66" s="46" t="n"/>
      <c r="Q66" s="115" t="n"/>
      <c r="R66" s="46" t="n"/>
      <c r="S66" s="46" t="n"/>
      <c r="T66" s="46" t="n"/>
      <c r="U66" s="46" t="n"/>
      <c r="V66" s="46" t="n"/>
      <c r="W66" s="46" t="n"/>
      <c r="X66" s="46" t="n"/>
      <c r="Y66" s="46" t="n"/>
      <c r="Z66" s="46" t="n"/>
    </row>
    <row r="67" ht="12.75" customHeight="1" s="162">
      <c r="A67" s="46" t="n"/>
      <c r="B67" s="46" t="n"/>
      <c r="C67" s="46" t="n"/>
      <c r="D67" s="46" t="n"/>
      <c r="E67" s="46" t="n"/>
      <c r="F67" s="46" t="n"/>
      <c r="G67" s="46" t="n"/>
      <c r="H67" s="46" t="n"/>
      <c r="I67" s="46" t="n"/>
      <c r="J67" s="46" t="n"/>
      <c r="K67" s="46" t="n"/>
      <c r="L67" s="46" t="n"/>
      <c r="M67" s="46" t="n"/>
      <c r="N67" s="46" t="n"/>
      <c r="O67" s="46" t="n"/>
      <c r="P67" s="46" t="n"/>
      <c r="Q67" s="115" t="n"/>
      <c r="R67" s="46" t="n"/>
      <c r="S67" s="46" t="n"/>
      <c r="T67" s="46" t="n"/>
      <c r="U67" s="46" t="n"/>
      <c r="V67" s="46" t="n"/>
      <c r="W67" s="46" t="n"/>
      <c r="X67" s="46" t="n"/>
      <c r="Y67" s="46" t="n"/>
      <c r="Z67" s="46" t="n"/>
    </row>
    <row r="68" ht="12.75" customHeight="1" s="162">
      <c r="A68" s="46" t="n"/>
      <c r="B68" s="46" t="n"/>
      <c r="C68" s="46" t="n"/>
      <c r="D68" s="46" t="n"/>
      <c r="E68" s="46" t="n"/>
      <c r="F68" s="46" t="n"/>
      <c r="G68" s="46" t="n"/>
      <c r="H68" s="46" t="n"/>
      <c r="I68" s="46" t="n"/>
      <c r="J68" s="46" t="n"/>
      <c r="K68" s="46" t="n"/>
      <c r="L68" s="46" t="n"/>
      <c r="M68" s="46" t="n"/>
      <c r="N68" s="46" t="n"/>
      <c r="O68" s="46" t="n"/>
      <c r="P68" s="46" t="n"/>
      <c r="Q68" s="115" t="n"/>
      <c r="R68" s="46" t="n"/>
      <c r="S68" s="46" t="n"/>
      <c r="T68" s="46" t="n"/>
      <c r="U68" s="46" t="n"/>
      <c r="V68" s="46" t="n"/>
      <c r="W68" s="46" t="n"/>
      <c r="X68" s="46" t="n"/>
      <c r="Y68" s="46" t="n"/>
      <c r="Z68" s="46" t="n"/>
    </row>
    <row r="69" ht="12.75" customHeight="1" s="162">
      <c r="A69" s="46" t="n"/>
      <c r="B69" s="46" t="n"/>
      <c r="C69" s="46" t="n"/>
      <c r="D69" s="46" t="n"/>
      <c r="E69" s="46" t="n"/>
      <c r="F69" s="46" t="n"/>
      <c r="G69" s="46" t="n"/>
      <c r="H69" s="46" t="n"/>
      <c r="I69" s="46" t="n"/>
      <c r="J69" s="46" t="n"/>
      <c r="K69" s="46" t="n"/>
      <c r="L69" s="46" t="n"/>
      <c r="M69" s="46" t="n"/>
      <c r="N69" s="46" t="n"/>
      <c r="O69" s="46" t="n"/>
      <c r="P69" s="46" t="n"/>
      <c r="Q69" s="115" t="n"/>
      <c r="R69" s="46" t="n"/>
      <c r="S69" s="46" t="n"/>
      <c r="T69" s="46" t="n"/>
      <c r="U69" s="46" t="n"/>
      <c r="V69" s="46" t="n"/>
      <c r="W69" s="46" t="n"/>
      <c r="X69" s="46" t="n"/>
      <c r="Y69" s="46" t="n"/>
      <c r="Z69" s="46" t="n"/>
    </row>
    <row r="70" ht="12.75" customHeight="1" s="162">
      <c r="A70" s="46" t="n"/>
      <c r="B70" s="46" t="n"/>
      <c r="C70" s="46" t="n"/>
      <c r="D70" s="46" t="n"/>
      <c r="E70" s="46" t="n"/>
      <c r="F70" s="46" t="n"/>
      <c r="G70" s="46" t="n"/>
      <c r="H70" s="46" t="n"/>
      <c r="I70" s="46" t="n"/>
      <c r="J70" s="46" t="n"/>
      <c r="K70" s="46" t="n"/>
      <c r="L70" s="46" t="n"/>
      <c r="M70" s="46" t="n"/>
      <c r="N70" s="46" t="n"/>
      <c r="O70" s="46" t="n"/>
      <c r="P70" s="46" t="n"/>
      <c r="Q70" s="115" t="n"/>
      <c r="R70" s="46" t="n"/>
      <c r="S70" s="46" t="n"/>
      <c r="T70" s="46" t="n"/>
      <c r="U70" s="46" t="n"/>
      <c r="V70" s="46" t="n"/>
      <c r="W70" s="46" t="n"/>
      <c r="X70" s="46" t="n"/>
      <c r="Y70" s="46" t="n"/>
      <c r="Z70" s="46" t="n"/>
    </row>
    <row r="71" ht="12.75" customHeight="1" s="162">
      <c r="A71" s="46" t="n"/>
      <c r="B71" s="46" t="n"/>
      <c r="C71" s="46" t="n"/>
      <c r="D71" s="46" t="n"/>
      <c r="E71" s="46" t="n"/>
      <c r="F71" s="46" t="n"/>
      <c r="G71" s="46" t="n"/>
      <c r="H71" s="46" t="n"/>
      <c r="I71" s="46" t="n"/>
      <c r="J71" s="46" t="n"/>
      <c r="K71" s="46" t="n"/>
      <c r="L71" s="46" t="n"/>
      <c r="M71" s="46" t="n"/>
      <c r="N71" s="46" t="n"/>
      <c r="O71" s="46" t="n"/>
      <c r="P71" s="46" t="n"/>
      <c r="Q71" s="115" t="n"/>
      <c r="R71" s="46" t="n"/>
      <c r="S71" s="46" t="n"/>
      <c r="T71" s="46" t="n"/>
      <c r="U71" s="46" t="n"/>
      <c r="V71" s="46" t="n"/>
      <c r="W71" s="46" t="n"/>
      <c r="X71" s="46" t="n"/>
      <c r="Y71" s="46" t="n"/>
      <c r="Z71" s="46" t="n"/>
    </row>
    <row r="72" ht="12.75" customHeight="1" s="162">
      <c r="A72" s="46" t="n"/>
      <c r="B72" s="46" t="n"/>
      <c r="C72" s="46" t="n"/>
      <c r="D72" s="46" t="n"/>
      <c r="E72" s="46" t="n"/>
      <c r="F72" s="46" t="n"/>
      <c r="G72" s="46" t="n"/>
      <c r="H72" s="46" t="n"/>
      <c r="I72" s="46" t="n"/>
      <c r="J72" s="46" t="n"/>
      <c r="K72" s="46" t="n"/>
      <c r="L72" s="46" t="n"/>
      <c r="M72" s="46" t="n"/>
      <c r="N72" s="46" t="n"/>
      <c r="O72" s="46" t="n"/>
      <c r="P72" s="46" t="n"/>
      <c r="Q72" s="115" t="n"/>
      <c r="R72" s="46" t="n"/>
      <c r="S72" s="46" t="n"/>
      <c r="T72" s="46" t="n"/>
      <c r="U72" s="46" t="n"/>
      <c r="V72" s="46" t="n"/>
      <c r="W72" s="46" t="n"/>
      <c r="X72" s="46" t="n"/>
      <c r="Y72" s="46" t="n"/>
      <c r="Z72" s="46" t="n"/>
    </row>
    <row r="73" ht="12.75" customHeight="1" s="162">
      <c r="A73" s="46" t="n"/>
      <c r="B73" s="46" t="n"/>
      <c r="C73" s="46" t="n"/>
      <c r="D73" s="46" t="n"/>
      <c r="E73" s="46" t="n"/>
      <c r="F73" s="46" t="n"/>
      <c r="G73" s="46" t="n"/>
      <c r="H73" s="46" t="n"/>
      <c r="I73" s="46" t="n"/>
      <c r="J73" s="46" t="n"/>
      <c r="K73" s="46" t="n"/>
      <c r="L73" s="46" t="n"/>
      <c r="M73" s="46" t="n"/>
      <c r="N73" s="46" t="n"/>
      <c r="O73" s="46" t="n"/>
      <c r="P73" s="46" t="n"/>
      <c r="Q73" s="115" t="n"/>
      <c r="R73" s="46" t="n"/>
      <c r="S73" s="46" t="n"/>
      <c r="T73" s="46" t="n"/>
      <c r="U73" s="46" t="n"/>
      <c r="V73" s="46" t="n"/>
      <c r="W73" s="46" t="n"/>
      <c r="X73" s="46" t="n"/>
      <c r="Y73" s="46" t="n"/>
      <c r="Z73" s="46" t="n"/>
    </row>
    <row r="74" ht="12.75" customHeight="1" s="162">
      <c r="A74" s="46" t="n"/>
      <c r="B74" s="46" t="n"/>
      <c r="C74" s="46" t="n"/>
      <c r="D74" s="46" t="n"/>
      <c r="E74" s="46" t="n"/>
      <c r="F74" s="46" t="n"/>
      <c r="G74" s="46" t="n"/>
      <c r="H74" s="46" t="n"/>
      <c r="I74" s="46" t="n"/>
      <c r="J74" s="46" t="n"/>
      <c r="K74" s="46" t="n"/>
      <c r="L74" s="46" t="n"/>
      <c r="M74" s="46" t="n"/>
      <c r="N74" s="46" t="n"/>
      <c r="O74" s="46" t="n"/>
      <c r="P74" s="46" t="n"/>
      <c r="Q74" s="115" t="n"/>
      <c r="R74" s="46" t="n"/>
      <c r="S74" s="46" t="n"/>
      <c r="T74" s="46" t="n"/>
      <c r="U74" s="46" t="n"/>
      <c r="V74" s="46" t="n"/>
      <c r="W74" s="46" t="n"/>
      <c r="X74" s="46" t="n"/>
      <c r="Y74" s="46" t="n"/>
      <c r="Z74" s="46" t="n"/>
    </row>
    <row r="75" ht="12.75" customHeight="1" s="162">
      <c r="A75" s="46" t="n"/>
      <c r="B75" s="46" t="n"/>
      <c r="C75" s="46" t="n"/>
      <c r="D75" s="46" t="n"/>
      <c r="E75" s="46" t="n"/>
      <c r="F75" s="46" t="n"/>
      <c r="G75" s="46" t="n"/>
      <c r="H75" s="46" t="n"/>
      <c r="I75" s="46" t="n"/>
      <c r="J75" s="46" t="n"/>
      <c r="K75" s="46" t="n"/>
      <c r="L75" s="46" t="n"/>
      <c r="M75" s="46" t="n"/>
      <c r="N75" s="46" t="n"/>
      <c r="O75" s="46" t="n"/>
      <c r="P75" s="46" t="n"/>
      <c r="Q75" s="115" t="n"/>
      <c r="R75" s="46" t="n"/>
      <c r="S75" s="46" t="n"/>
      <c r="T75" s="46" t="n"/>
      <c r="U75" s="46" t="n"/>
      <c r="V75" s="46" t="n"/>
      <c r="W75" s="46" t="n"/>
      <c r="X75" s="46" t="n"/>
      <c r="Y75" s="46" t="n"/>
      <c r="Z75" s="46" t="n"/>
    </row>
    <row r="76" ht="12.75" customHeight="1" s="162">
      <c r="A76" s="46" t="n"/>
      <c r="B76" s="46" t="n"/>
      <c r="C76" s="46" t="n"/>
      <c r="D76" s="46" t="n"/>
      <c r="E76" s="46" t="n"/>
      <c r="F76" s="46" t="n"/>
      <c r="G76" s="46" t="n"/>
      <c r="H76" s="46" t="n"/>
      <c r="I76" s="46" t="n"/>
      <c r="J76" s="46" t="n"/>
      <c r="K76" s="46" t="n"/>
      <c r="L76" s="46" t="n"/>
      <c r="M76" s="46" t="n"/>
      <c r="N76" s="46" t="n"/>
      <c r="O76" s="46" t="n"/>
      <c r="P76" s="46" t="n"/>
      <c r="Q76" s="115" t="n"/>
      <c r="R76" s="46" t="n"/>
      <c r="S76" s="46" t="n"/>
      <c r="T76" s="46" t="n"/>
      <c r="U76" s="46" t="n"/>
      <c r="V76" s="46" t="n"/>
      <c r="W76" s="46" t="n"/>
      <c r="X76" s="46" t="n"/>
      <c r="Y76" s="46" t="n"/>
      <c r="Z76" s="46" t="n"/>
    </row>
    <row r="77" ht="12.75" customHeight="1" s="162">
      <c r="A77" s="46" t="n"/>
      <c r="B77" s="46" t="n"/>
      <c r="C77" s="46" t="n"/>
      <c r="D77" s="46" t="n"/>
      <c r="E77" s="46" t="n"/>
      <c r="F77" s="46" t="n"/>
      <c r="G77" s="46" t="n"/>
      <c r="H77" s="46" t="n"/>
      <c r="I77" s="46" t="n"/>
      <c r="J77" s="46" t="n"/>
      <c r="K77" s="46" t="n"/>
      <c r="L77" s="46" t="n"/>
      <c r="M77" s="46" t="n"/>
      <c r="N77" s="46" t="n"/>
      <c r="O77" s="46" t="n"/>
      <c r="P77" s="46" t="n"/>
      <c r="Q77" s="115" t="n"/>
      <c r="R77" s="46" t="n"/>
      <c r="S77" s="46" t="n"/>
      <c r="T77" s="46" t="n"/>
      <c r="U77" s="46" t="n"/>
      <c r="V77" s="46" t="n"/>
      <c r="W77" s="46" t="n"/>
      <c r="X77" s="46" t="n"/>
      <c r="Y77" s="46" t="n"/>
      <c r="Z77" s="46" t="n"/>
    </row>
    <row r="78" ht="12.75" customHeight="1" s="162">
      <c r="A78" s="46" t="n"/>
      <c r="B78" s="46" t="n"/>
      <c r="C78" s="46" t="n"/>
      <c r="D78" s="46" t="n"/>
      <c r="E78" s="46" t="n"/>
      <c r="F78" s="46" t="n"/>
      <c r="G78" s="46" t="n"/>
      <c r="H78" s="46" t="n"/>
      <c r="I78" s="46" t="n"/>
      <c r="J78" s="46" t="n"/>
      <c r="K78" s="46" t="n"/>
      <c r="L78" s="46" t="n"/>
      <c r="M78" s="46" t="n"/>
      <c r="N78" s="46" t="n"/>
      <c r="O78" s="46" t="n"/>
      <c r="P78" s="46" t="n"/>
      <c r="Q78" s="115" t="n"/>
      <c r="R78" s="46" t="n"/>
      <c r="S78" s="46" t="n"/>
      <c r="T78" s="46" t="n"/>
      <c r="U78" s="46" t="n"/>
      <c r="V78" s="46" t="n"/>
      <c r="W78" s="46" t="n"/>
      <c r="X78" s="46" t="n"/>
      <c r="Y78" s="46" t="n"/>
      <c r="Z78" s="46" t="n"/>
    </row>
    <row r="79" ht="12.75" customHeight="1" s="162">
      <c r="A79" s="46" t="n"/>
      <c r="B79" s="46" t="n"/>
      <c r="C79" s="46" t="n"/>
      <c r="D79" s="46" t="n"/>
      <c r="E79" s="46" t="n"/>
      <c r="F79" s="46" t="n"/>
      <c r="G79" s="46" t="n"/>
      <c r="H79" s="46" t="n"/>
      <c r="I79" s="46" t="n"/>
      <c r="J79" s="46" t="n"/>
      <c r="K79" s="46" t="n"/>
      <c r="L79" s="46" t="n"/>
      <c r="M79" s="46" t="n"/>
      <c r="N79" s="46" t="n"/>
      <c r="O79" s="46" t="n"/>
      <c r="P79" s="46" t="n"/>
      <c r="Q79" s="115" t="n"/>
      <c r="R79" s="46" t="n"/>
      <c r="S79" s="46" t="n"/>
      <c r="T79" s="46" t="n"/>
      <c r="U79" s="46" t="n"/>
      <c r="V79" s="46" t="n"/>
      <c r="W79" s="46" t="n"/>
      <c r="X79" s="46" t="n"/>
      <c r="Y79" s="46" t="n"/>
      <c r="Z79" s="46" t="n"/>
    </row>
    <row r="80" ht="12.75" customHeight="1" s="162">
      <c r="A80" s="46" t="n"/>
      <c r="B80" s="46" t="n"/>
      <c r="C80" s="46" t="n"/>
      <c r="D80" s="46" t="n"/>
      <c r="E80" s="46" t="n"/>
      <c r="F80" s="46" t="n"/>
      <c r="G80" s="46" t="n"/>
      <c r="H80" s="46" t="n"/>
      <c r="I80" s="46" t="n"/>
      <c r="J80" s="46" t="n"/>
      <c r="K80" s="46" t="n"/>
      <c r="L80" s="46" t="n"/>
      <c r="M80" s="46" t="n"/>
      <c r="N80" s="46" t="n"/>
      <c r="O80" s="46" t="n"/>
      <c r="P80" s="46" t="n"/>
      <c r="Q80" s="115" t="n"/>
      <c r="R80" s="46" t="n"/>
      <c r="S80" s="46" t="n"/>
      <c r="T80" s="46" t="n"/>
      <c r="U80" s="46" t="n"/>
      <c r="V80" s="46" t="n"/>
      <c r="W80" s="46" t="n"/>
      <c r="X80" s="46" t="n"/>
      <c r="Y80" s="46" t="n"/>
      <c r="Z80" s="46" t="n"/>
    </row>
    <row r="81" ht="12.75" customHeight="1" s="162">
      <c r="A81" s="46" t="n"/>
      <c r="B81" s="46" t="n"/>
      <c r="C81" s="46" t="n"/>
      <c r="D81" s="46" t="n"/>
      <c r="E81" s="46" t="n"/>
      <c r="F81" s="46" t="n"/>
      <c r="G81" s="46" t="n"/>
      <c r="H81" s="46" t="n"/>
      <c r="I81" s="46" t="n"/>
      <c r="J81" s="46" t="n"/>
      <c r="K81" s="46" t="n"/>
      <c r="L81" s="46" t="n"/>
      <c r="M81" s="46" t="n"/>
      <c r="N81" s="46" t="n"/>
      <c r="O81" s="46" t="n"/>
      <c r="P81" s="46" t="n"/>
      <c r="Q81" s="115" t="n"/>
      <c r="R81" s="46" t="n"/>
      <c r="S81" s="46" t="n"/>
      <c r="T81" s="46" t="n"/>
      <c r="U81" s="46" t="n"/>
      <c r="V81" s="46" t="n"/>
      <c r="W81" s="46" t="n"/>
      <c r="X81" s="46" t="n"/>
      <c r="Y81" s="46" t="n"/>
      <c r="Z81" s="46" t="n"/>
    </row>
    <row r="82" ht="12.75" customHeight="1" s="162">
      <c r="A82" s="46" t="n"/>
      <c r="B82" s="46" t="n"/>
      <c r="C82" s="46" t="n"/>
      <c r="D82" s="46" t="n"/>
      <c r="E82" s="46" t="n"/>
      <c r="F82" s="46" t="n"/>
      <c r="G82" s="46" t="n"/>
      <c r="H82" s="46" t="n"/>
      <c r="I82" s="46" t="n"/>
      <c r="J82" s="46" t="n"/>
      <c r="K82" s="46" t="n"/>
      <c r="L82" s="46" t="n"/>
      <c r="M82" s="46" t="n"/>
      <c r="N82" s="46" t="n"/>
      <c r="O82" s="46" t="n"/>
      <c r="P82" s="46" t="n"/>
      <c r="Q82" s="115" t="n"/>
      <c r="R82" s="46" t="n"/>
      <c r="S82" s="46" t="n"/>
      <c r="T82" s="46" t="n"/>
      <c r="U82" s="46" t="n"/>
      <c r="V82" s="46" t="n"/>
      <c r="W82" s="46" t="n"/>
      <c r="X82" s="46" t="n"/>
      <c r="Y82" s="46" t="n"/>
      <c r="Z82" s="46" t="n"/>
    </row>
    <row r="83" ht="12.75" customHeight="1" s="162">
      <c r="A83" s="46" t="n"/>
      <c r="B83" s="46" t="n"/>
      <c r="C83" s="46" t="n"/>
      <c r="D83" s="46" t="n"/>
      <c r="E83" s="46" t="n"/>
      <c r="F83" s="46" t="n"/>
      <c r="G83" s="46" t="n"/>
      <c r="H83" s="46" t="n"/>
      <c r="I83" s="46" t="n"/>
      <c r="J83" s="46" t="n"/>
      <c r="K83" s="46" t="n"/>
      <c r="L83" s="46" t="n"/>
      <c r="M83" s="46" t="n"/>
      <c r="N83" s="46" t="n"/>
      <c r="O83" s="46" t="n"/>
      <c r="P83" s="46" t="n"/>
      <c r="Q83" s="115" t="n"/>
      <c r="R83" s="46" t="n"/>
      <c r="S83" s="46" t="n"/>
      <c r="T83" s="46" t="n"/>
      <c r="U83" s="46" t="n"/>
      <c r="V83" s="46" t="n"/>
      <c r="W83" s="46" t="n"/>
      <c r="X83" s="46" t="n"/>
      <c r="Y83" s="46" t="n"/>
      <c r="Z83" s="46" t="n"/>
    </row>
    <row r="84" ht="12.75" customHeight="1" s="162">
      <c r="A84" s="46" t="n"/>
      <c r="B84" s="46" t="n"/>
      <c r="C84" s="46" t="n"/>
      <c r="D84" s="46" t="n"/>
      <c r="E84" s="46" t="n"/>
      <c r="F84" s="46" t="n"/>
      <c r="G84" s="46" t="n"/>
      <c r="H84" s="46" t="n"/>
      <c r="I84" s="46" t="n"/>
      <c r="J84" s="46" t="n"/>
      <c r="K84" s="46" t="n"/>
      <c r="L84" s="46" t="n"/>
      <c r="M84" s="46" t="n"/>
      <c r="N84" s="46" t="n"/>
      <c r="O84" s="46" t="n"/>
      <c r="P84" s="46" t="n"/>
      <c r="Q84" s="115" t="n"/>
      <c r="R84" s="46" t="n"/>
      <c r="S84" s="46" t="n"/>
      <c r="T84" s="46" t="n"/>
      <c r="U84" s="46" t="n"/>
      <c r="V84" s="46" t="n"/>
      <c r="W84" s="46" t="n"/>
      <c r="X84" s="46" t="n"/>
      <c r="Y84" s="46" t="n"/>
      <c r="Z84" s="46" t="n"/>
    </row>
    <row r="85" ht="12.75" customHeight="1" s="162">
      <c r="A85" s="46" t="n"/>
      <c r="B85" s="46" t="n"/>
      <c r="C85" s="46" t="n"/>
      <c r="D85" s="46" t="n"/>
      <c r="E85" s="46" t="n"/>
      <c r="F85" s="46" t="n"/>
      <c r="G85" s="46" t="n"/>
      <c r="H85" s="46" t="n"/>
      <c r="I85" s="46" t="n"/>
      <c r="J85" s="46" t="n"/>
      <c r="K85" s="46" t="n"/>
      <c r="L85" s="46" t="n"/>
      <c r="M85" s="46" t="n"/>
      <c r="N85" s="46" t="n"/>
      <c r="O85" s="46" t="n"/>
      <c r="P85" s="46" t="n"/>
      <c r="Q85" s="115" t="n"/>
      <c r="R85" s="46" t="n"/>
      <c r="S85" s="46" t="n"/>
      <c r="T85" s="46" t="n"/>
      <c r="U85" s="46" t="n"/>
      <c r="V85" s="46" t="n"/>
      <c r="W85" s="46" t="n"/>
      <c r="X85" s="46" t="n"/>
      <c r="Y85" s="46" t="n"/>
      <c r="Z85" s="46" t="n"/>
    </row>
    <row r="86" ht="12.75" customHeight="1" s="162">
      <c r="A86" s="46" t="n"/>
      <c r="B86" s="46" t="n"/>
      <c r="C86" s="46" t="n"/>
      <c r="D86" s="46" t="n"/>
      <c r="E86" s="46" t="n"/>
      <c r="F86" s="46" t="n"/>
      <c r="G86" s="46" t="n"/>
      <c r="H86" s="46" t="n"/>
      <c r="I86" s="46" t="n"/>
      <c r="J86" s="46" t="n"/>
      <c r="K86" s="46" t="n"/>
      <c r="L86" s="46" t="n"/>
      <c r="M86" s="46" t="n"/>
      <c r="N86" s="46" t="n"/>
      <c r="O86" s="46" t="n"/>
      <c r="P86" s="46" t="n"/>
      <c r="Q86" s="115" t="n"/>
      <c r="R86" s="46" t="n"/>
      <c r="S86" s="46" t="n"/>
      <c r="T86" s="46" t="n"/>
      <c r="U86" s="46" t="n"/>
      <c r="V86" s="46" t="n"/>
      <c r="W86" s="46" t="n"/>
      <c r="X86" s="46" t="n"/>
      <c r="Y86" s="46" t="n"/>
      <c r="Z86" s="46" t="n"/>
    </row>
    <row r="87" ht="12.75" customHeight="1" s="162">
      <c r="A87" s="46" t="n"/>
      <c r="B87" s="46" t="n"/>
      <c r="C87" s="46" t="n"/>
      <c r="D87" s="46" t="n"/>
      <c r="E87" s="46" t="n"/>
      <c r="F87" s="46" t="n"/>
      <c r="G87" s="46" t="n"/>
      <c r="H87" s="46" t="n"/>
      <c r="I87" s="46" t="n"/>
      <c r="J87" s="46" t="n"/>
      <c r="K87" s="46" t="n"/>
      <c r="L87" s="46" t="n"/>
      <c r="M87" s="46" t="n"/>
      <c r="N87" s="46" t="n"/>
      <c r="O87" s="46" t="n"/>
      <c r="P87" s="46" t="n"/>
      <c r="Q87" s="115" t="n"/>
      <c r="R87" s="46" t="n"/>
      <c r="S87" s="46" t="n"/>
      <c r="T87" s="46" t="n"/>
      <c r="U87" s="46" t="n"/>
      <c r="V87" s="46" t="n"/>
      <c r="W87" s="46" t="n"/>
      <c r="X87" s="46" t="n"/>
      <c r="Y87" s="46" t="n"/>
      <c r="Z87" s="46" t="n"/>
    </row>
    <row r="88" ht="12.75" customHeight="1" s="162">
      <c r="A88" s="46" t="n"/>
      <c r="B88" s="46" t="n"/>
      <c r="C88" s="46" t="n"/>
      <c r="D88" s="46" t="n"/>
      <c r="E88" s="46" t="n"/>
      <c r="F88" s="46" t="n"/>
      <c r="G88" s="46" t="n"/>
      <c r="H88" s="46" t="n"/>
      <c r="I88" s="46" t="n"/>
      <c r="J88" s="46" t="n"/>
      <c r="K88" s="46" t="n"/>
      <c r="L88" s="46" t="n"/>
      <c r="M88" s="46" t="n"/>
      <c r="N88" s="46" t="n"/>
      <c r="O88" s="46" t="n"/>
      <c r="P88" s="46" t="n"/>
      <c r="Q88" s="115" t="n"/>
      <c r="R88" s="46" t="n"/>
      <c r="S88" s="46" t="n"/>
      <c r="T88" s="46" t="n"/>
      <c r="U88" s="46" t="n"/>
      <c r="V88" s="46" t="n"/>
      <c r="W88" s="46" t="n"/>
      <c r="X88" s="46" t="n"/>
      <c r="Y88" s="46" t="n"/>
      <c r="Z88" s="46" t="n"/>
    </row>
    <row r="89" ht="12.75" customHeight="1" s="162">
      <c r="A89" s="46" t="n"/>
      <c r="B89" s="46" t="n"/>
      <c r="C89" s="46" t="n"/>
      <c r="D89" s="46" t="n"/>
      <c r="E89" s="46" t="n"/>
      <c r="F89" s="46" t="n"/>
      <c r="G89" s="46" t="n"/>
      <c r="H89" s="46" t="n"/>
      <c r="I89" s="46" t="n"/>
      <c r="J89" s="46" t="n"/>
      <c r="K89" s="46" t="n"/>
      <c r="L89" s="46" t="n"/>
      <c r="M89" s="46" t="n"/>
      <c r="N89" s="46" t="n"/>
      <c r="O89" s="46" t="n"/>
      <c r="P89" s="46" t="n"/>
      <c r="Q89" s="115" t="n"/>
      <c r="R89" s="46" t="n"/>
      <c r="S89" s="46" t="n"/>
      <c r="T89" s="46" t="n"/>
      <c r="U89" s="46" t="n"/>
      <c r="V89" s="46" t="n"/>
      <c r="W89" s="46" t="n"/>
      <c r="X89" s="46" t="n"/>
      <c r="Y89" s="46" t="n"/>
      <c r="Z89" s="46" t="n"/>
    </row>
    <row r="90" ht="12.75" customHeight="1" s="162">
      <c r="A90" s="46" t="n"/>
      <c r="B90" s="46" t="n"/>
      <c r="C90" s="46" t="n"/>
      <c r="D90" s="46" t="n"/>
      <c r="E90" s="46" t="n"/>
      <c r="F90" s="46" t="n"/>
      <c r="G90" s="46" t="n"/>
      <c r="H90" s="46" t="n"/>
      <c r="I90" s="46" t="n"/>
      <c r="J90" s="46" t="n"/>
      <c r="K90" s="46" t="n"/>
      <c r="L90" s="46" t="n"/>
      <c r="M90" s="46" t="n"/>
      <c r="N90" s="46" t="n"/>
      <c r="O90" s="46" t="n"/>
      <c r="P90" s="46" t="n"/>
      <c r="Q90" s="115" t="n"/>
      <c r="R90" s="46" t="n"/>
      <c r="S90" s="46" t="n"/>
      <c r="T90" s="46" t="n"/>
      <c r="U90" s="46" t="n"/>
      <c r="V90" s="46" t="n"/>
      <c r="W90" s="46" t="n"/>
      <c r="X90" s="46" t="n"/>
      <c r="Y90" s="46" t="n"/>
      <c r="Z90" s="46" t="n"/>
    </row>
    <row r="91" ht="12.75" customHeight="1" s="162">
      <c r="A91" s="46" t="n"/>
      <c r="B91" s="46" t="n"/>
      <c r="C91" s="46" t="n"/>
      <c r="D91" s="46" t="n"/>
      <c r="E91" s="46" t="n"/>
      <c r="F91" s="46" t="n"/>
      <c r="G91" s="46" t="n"/>
      <c r="H91" s="46" t="n"/>
      <c r="I91" s="46" t="n"/>
      <c r="J91" s="46" t="n"/>
      <c r="K91" s="46" t="n"/>
      <c r="L91" s="46" t="n"/>
      <c r="M91" s="46" t="n"/>
      <c r="N91" s="46" t="n"/>
      <c r="O91" s="46" t="n"/>
      <c r="P91" s="46" t="n"/>
      <c r="Q91" s="115" t="n"/>
      <c r="R91" s="46" t="n"/>
      <c r="S91" s="46" t="n"/>
      <c r="T91" s="46" t="n"/>
      <c r="U91" s="46" t="n"/>
      <c r="V91" s="46" t="n"/>
      <c r="W91" s="46" t="n"/>
      <c r="X91" s="46" t="n"/>
      <c r="Y91" s="46" t="n"/>
      <c r="Z91" s="46" t="n"/>
    </row>
    <row r="92" ht="12.75" customHeight="1" s="162">
      <c r="A92" s="46" t="n"/>
      <c r="B92" s="46" t="n"/>
      <c r="C92" s="46" t="n"/>
      <c r="D92" s="46" t="n"/>
      <c r="E92" s="46" t="n"/>
      <c r="F92" s="46" t="n"/>
      <c r="G92" s="46" t="n"/>
      <c r="H92" s="46" t="n"/>
      <c r="I92" s="46" t="n"/>
      <c r="J92" s="46" t="n"/>
      <c r="K92" s="46" t="n"/>
      <c r="L92" s="46" t="n"/>
      <c r="M92" s="46" t="n"/>
      <c r="N92" s="46" t="n"/>
      <c r="O92" s="46" t="n"/>
      <c r="P92" s="46" t="n"/>
      <c r="Q92" s="115" t="n"/>
      <c r="R92" s="46" t="n"/>
      <c r="S92" s="46" t="n"/>
      <c r="T92" s="46" t="n"/>
      <c r="U92" s="46" t="n"/>
      <c r="V92" s="46" t="n"/>
      <c r="W92" s="46" t="n"/>
      <c r="X92" s="46" t="n"/>
      <c r="Y92" s="46" t="n"/>
      <c r="Z92" s="46" t="n"/>
    </row>
    <row r="93" ht="12.75" customHeight="1" s="162">
      <c r="A93" s="46" t="n"/>
      <c r="B93" s="46" t="n"/>
      <c r="C93" s="46" t="n"/>
      <c r="D93" s="46" t="n"/>
      <c r="E93" s="46" t="n"/>
      <c r="F93" s="46" t="n"/>
      <c r="G93" s="46" t="n"/>
      <c r="H93" s="46" t="n"/>
      <c r="I93" s="46" t="n"/>
      <c r="J93" s="46" t="n"/>
      <c r="K93" s="46" t="n"/>
      <c r="L93" s="46" t="n"/>
      <c r="M93" s="46" t="n"/>
      <c r="N93" s="46" t="n"/>
      <c r="O93" s="46" t="n"/>
      <c r="P93" s="46" t="n"/>
      <c r="Q93" s="115" t="n"/>
      <c r="R93" s="46" t="n"/>
      <c r="S93" s="46" t="n"/>
      <c r="T93" s="46" t="n"/>
      <c r="U93" s="46" t="n"/>
      <c r="V93" s="46" t="n"/>
      <c r="W93" s="46" t="n"/>
      <c r="X93" s="46" t="n"/>
      <c r="Y93" s="46" t="n"/>
      <c r="Z93" s="46" t="n"/>
    </row>
    <row r="94" ht="12.75" customHeight="1" s="162">
      <c r="A94" s="46" t="n"/>
      <c r="B94" s="46" t="n"/>
      <c r="C94" s="46" t="n"/>
      <c r="D94" s="46" t="n"/>
      <c r="E94" s="46" t="n"/>
      <c r="F94" s="46" t="n"/>
      <c r="G94" s="46" t="n"/>
      <c r="H94" s="46" t="n"/>
      <c r="I94" s="46" t="n"/>
      <c r="J94" s="46" t="n"/>
      <c r="K94" s="46" t="n"/>
      <c r="L94" s="46" t="n"/>
      <c r="M94" s="46" t="n"/>
      <c r="N94" s="46" t="n"/>
      <c r="O94" s="46" t="n"/>
      <c r="P94" s="46" t="n"/>
      <c r="Q94" s="115" t="n"/>
      <c r="R94" s="46" t="n"/>
      <c r="S94" s="46" t="n"/>
      <c r="T94" s="46" t="n"/>
      <c r="U94" s="46" t="n"/>
      <c r="V94" s="46" t="n"/>
      <c r="W94" s="46" t="n"/>
      <c r="X94" s="46" t="n"/>
      <c r="Y94" s="46" t="n"/>
      <c r="Z94" s="46" t="n"/>
    </row>
    <row r="95" ht="12.75" customHeight="1" s="162">
      <c r="A95" s="46" t="n"/>
      <c r="B95" s="46" t="n"/>
      <c r="C95" s="46" t="n"/>
      <c r="D95" s="46" t="n"/>
      <c r="E95" s="46" t="n"/>
      <c r="F95" s="46" t="n"/>
      <c r="G95" s="46" t="n"/>
      <c r="H95" s="46" t="n"/>
      <c r="I95" s="46" t="n"/>
      <c r="J95" s="46" t="n"/>
      <c r="K95" s="46" t="n"/>
      <c r="L95" s="46" t="n"/>
      <c r="M95" s="46" t="n"/>
      <c r="N95" s="46" t="n"/>
      <c r="O95" s="46" t="n"/>
      <c r="P95" s="46" t="n"/>
      <c r="Q95" s="115" t="n"/>
      <c r="R95" s="46" t="n"/>
      <c r="S95" s="46" t="n"/>
      <c r="T95" s="46" t="n"/>
      <c r="U95" s="46" t="n"/>
      <c r="V95" s="46" t="n"/>
      <c r="W95" s="46" t="n"/>
      <c r="X95" s="46" t="n"/>
      <c r="Y95" s="46" t="n"/>
      <c r="Z95" s="46" t="n"/>
    </row>
    <row r="96" ht="12.75" customHeight="1" s="162">
      <c r="A96" s="46" t="n"/>
      <c r="B96" s="46" t="n"/>
      <c r="C96" s="46" t="n"/>
      <c r="D96" s="46" t="n"/>
      <c r="E96" s="46" t="n"/>
      <c r="F96" s="46" t="n"/>
      <c r="G96" s="46" t="n"/>
      <c r="H96" s="46" t="n"/>
      <c r="I96" s="46" t="n"/>
      <c r="J96" s="46" t="n"/>
      <c r="K96" s="46" t="n"/>
      <c r="L96" s="46" t="n"/>
      <c r="M96" s="46" t="n"/>
      <c r="N96" s="46" t="n"/>
      <c r="O96" s="46" t="n"/>
      <c r="P96" s="46" t="n"/>
      <c r="Q96" s="115" t="n"/>
      <c r="R96" s="46" t="n"/>
      <c r="S96" s="46" t="n"/>
      <c r="T96" s="46" t="n"/>
      <c r="U96" s="46" t="n"/>
      <c r="V96" s="46" t="n"/>
      <c r="W96" s="46" t="n"/>
      <c r="X96" s="46" t="n"/>
      <c r="Y96" s="46" t="n"/>
      <c r="Z96" s="46" t="n"/>
    </row>
    <row r="97" ht="12.75" customHeight="1" s="162">
      <c r="A97" s="46" t="n"/>
      <c r="B97" s="46" t="n"/>
      <c r="C97" s="46" t="n"/>
      <c r="D97" s="46" t="n"/>
      <c r="E97" s="46" t="n"/>
      <c r="F97" s="46" t="n"/>
      <c r="G97" s="46" t="n"/>
      <c r="H97" s="46" t="n"/>
      <c r="I97" s="46" t="n"/>
      <c r="J97" s="46" t="n"/>
      <c r="K97" s="46" t="n"/>
      <c r="L97" s="46" t="n"/>
      <c r="M97" s="46" t="n"/>
      <c r="N97" s="46" t="n"/>
      <c r="O97" s="46" t="n"/>
      <c r="P97" s="46" t="n"/>
      <c r="Q97" s="115" t="n"/>
      <c r="R97" s="46" t="n"/>
      <c r="S97" s="46" t="n"/>
      <c r="T97" s="46" t="n"/>
      <c r="U97" s="46" t="n"/>
      <c r="V97" s="46" t="n"/>
      <c r="W97" s="46" t="n"/>
      <c r="X97" s="46" t="n"/>
      <c r="Y97" s="46" t="n"/>
      <c r="Z97" s="46" t="n"/>
    </row>
    <row r="98" ht="12.75" customHeight="1" s="162">
      <c r="A98" s="46" t="n"/>
      <c r="B98" s="46" t="n"/>
      <c r="C98" s="46" t="n"/>
      <c r="D98" s="46" t="n"/>
      <c r="E98" s="46" t="n"/>
      <c r="F98" s="46" t="n"/>
      <c r="G98" s="46" t="n"/>
      <c r="H98" s="46" t="n"/>
      <c r="I98" s="46" t="n"/>
      <c r="J98" s="46" t="n"/>
      <c r="K98" s="46" t="n"/>
      <c r="L98" s="46" t="n"/>
      <c r="M98" s="46" t="n"/>
      <c r="N98" s="46" t="n"/>
      <c r="O98" s="46" t="n"/>
      <c r="P98" s="46" t="n"/>
      <c r="Q98" s="115" t="n"/>
      <c r="R98" s="46" t="n"/>
      <c r="S98" s="46" t="n"/>
      <c r="T98" s="46" t="n"/>
      <c r="U98" s="46" t="n"/>
      <c r="V98" s="46" t="n"/>
      <c r="W98" s="46" t="n"/>
      <c r="X98" s="46" t="n"/>
      <c r="Y98" s="46" t="n"/>
      <c r="Z98" s="46" t="n"/>
    </row>
    <row r="99" ht="12.75" customHeight="1" s="162">
      <c r="A99" s="46" t="n"/>
      <c r="B99" s="46" t="n"/>
      <c r="C99" s="46" t="n"/>
      <c r="D99" s="46" t="n"/>
      <c r="E99" s="46" t="n"/>
      <c r="F99" s="46" t="n"/>
      <c r="G99" s="46" t="n"/>
      <c r="H99" s="46" t="n"/>
      <c r="I99" s="46" t="n"/>
      <c r="J99" s="46" t="n"/>
      <c r="K99" s="46" t="n"/>
      <c r="L99" s="46" t="n"/>
      <c r="M99" s="46" t="n"/>
      <c r="N99" s="46" t="n"/>
      <c r="O99" s="46" t="n"/>
      <c r="P99" s="46" t="n"/>
      <c r="Q99" s="115" t="n"/>
      <c r="R99" s="46" t="n"/>
      <c r="S99" s="46" t="n"/>
      <c r="T99" s="46" t="n"/>
      <c r="U99" s="46" t="n"/>
      <c r="V99" s="46" t="n"/>
      <c r="W99" s="46" t="n"/>
      <c r="X99" s="46" t="n"/>
      <c r="Y99" s="46" t="n"/>
      <c r="Z99" s="46" t="n"/>
    </row>
    <row r="100" ht="12.75" customHeight="1" s="162">
      <c r="A100" s="46" t="n"/>
      <c r="B100" s="46" t="n"/>
      <c r="C100" s="46" t="n"/>
      <c r="D100" s="46" t="n"/>
      <c r="E100" s="46" t="n"/>
      <c r="F100" s="46" t="n"/>
      <c r="G100" s="46" t="n"/>
      <c r="H100" s="46" t="n"/>
      <c r="I100" s="46" t="n"/>
      <c r="J100" s="46" t="n"/>
      <c r="K100" s="46" t="n"/>
      <c r="L100" s="46" t="n"/>
      <c r="M100" s="46" t="n"/>
      <c r="N100" s="46" t="n"/>
      <c r="O100" s="46" t="n"/>
      <c r="P100" s="46" t="n"/>
      <c r="Q100" s="115" t="n"/>
      <c r="R100" s="46" t="n"/>
      <c r="S100" s="46" t="n"/>
      <c r="T100" s="46" t="n"/>
      <c r="U100" s="46" t="n"/>
      <c r="V100" s="46" t="n"/>
      <c r="W100" s="46" t="n"/>
      <c r="X100" s="46" t="n"/>
      <c r="Y100" s="46" t="n"/>
      <c r="Z100" s="46" t="n"/>
    </row>
    <row r="101" ht="12.75" customHeight="1" s="162">
      <c r="A101" s="46" t="n"/>
      <c r="B101" s="46" t="n"/>
      <c r="C101" s="46" t="n"/>
      <c r="D101" s="46" t="n"/>
      <c r="E101" s="46" t="n"/>
      <c r="F101" s="46" t="n"/>
      <c r="G101" s="46" t="n"/>
      <c r="H101" s="46" t="n"/>
      <c r="I101" s="46" t="n"/>
      <c r="J101" s="46" t="n"/>
      <c r="K101" s="46" t="n"/>
      <c r="L101" s="46" t="n"/>
      <c r="M101" s="46" t="n"/>
      <c r="N101" s="46" t="n"/>
      <c r="O101" s="46" t="n"/>
      <c r="P101" s="46" t="n"/>
      <c r="Q101" s="115" t="n"/>
      <c r="R101" s="46" t="n"/>
      <c r="S101" s="46" t="n"/>
      <c r="T101" s="46" t="n"/>
      <c r="U101" s="46" t="n"/>
      <c r="V101" s="46" t="n"/>
      <c r="W101" s="46" t="n"/>
      <c r="X101" s="46" t="n"/>
      <c r="Y101" s="46" t="n"/>
      <c r="Z101" s="46" t="n"/>
    </row>
    <row r="102" ht="12.75" customHeight="1" s="162">
      <c r="A102" s="46" t="n"/>
      <c r="B102" s="46" t="n"/>
      <c r="C102" s="46" t="n"/>
      <c r="D102" s="46" t="n"/>
      <c r="E102" s="46" t="n"/>
      <c r="F102" s="46" t="n"/>
      <c r="G102" s="46" t="n"/>
      <c r="H102" s="46" t="n"/>
      <c r="I102" s="46" t="n"/>
      <c r="J102" s="46" t="n"/>
      <c r="K102" s="46" t="n"/>
      <c r="L102" s="46" t="n"/>
      <c r="M102" s="46" t="n"/>
      <c r="N102" s="46" t="n"/>
      <c r="O102" s="46" t="n"/>
      <c r="P102" s="46" t="n"/>
      <c r="Q102" s="115" t="n"/>
      <c r="R102" s="46" t="n"/>
      <c r="S102" s="46" t="n"/>
      <c r="T102" s="46" t="n"/>
      <c r="U102" s="46" t="n"/>
      <c r="V102" s="46" t="n"/>
      <c r="W102" s="46" t="n"/>
      <c r="X102" s="46" t="n"/>
      <c r="Y102" s="46" t="n"/>
      <c r="Z102" s="46" t="n"/>
    </row>
    <row r="103" ht="12.75" customHeight="1" s="162">
      <c r="A103" s="46" t="n"/>
      <c r="B103" s="46" t="n"/>
      <c r="C103" s="46" t="n"/>
      <c r="D103" s="46" t="n"/>
      <c r="E103" s="46" t="n"/>
      <c r="F103" s="46" t="n"/>
      <c r="G103" s="46" t="n"/>
      <c r="H103" s="46" t="n"/>
      <c r="I103" s="46" t="n"/>
      <c r="J103" s="46" t="n"/>
      <c r="K103" s="46" t="n"/>
      <c r="L103" s="46" t="n"/>
      <c r="M103" s="46" t="n"/>
      <c r="N103" s="46" t="n"/>
      <c r="O103" s="46" t="n"/>
      <c r="P103" s="46" t="n"/>
      <c r="Q103" s="115" t="n"/>
      <c r="R103" s="46" t="n"/>
      <c r="S103" s="46" t="n"/>
      <c r="T103" s="46" t="n"/>
      <c r="U103" s="46" t="n"/>
      <c r="V103" s="46" t="n"/>
      <c r="W103" s="46" t="n"/>
      <c r="X103" s="46" t="n"/>
      <c r="Y103" s="46" t="n"/>
      <c r="Z103" s="46" t="n"/>
    </row>
    <row r="104" ht="12.75" customHeight="1" s="162">
      <c r="A104" s="46" t="n"/>
      <c r="B104" s="46" t="n"/>
      <c r="C104" s="46" t="n"/>
      <c r="D104" s="46" t="n"/>
      <c r="E104" s="46" t="n"/>
      <c r="F104" s="46" t="n"/>
      <c r="G104" s="46" t="n"/>
      <c r="H104" s="46" t="n"/>
      <c r="I104" s="46" t="n"/>
      <c r="J104" s="46" t="n"/>
      <c r="K104" s="46" t="n"/>
      <c r="L104" s="46" t="n"/>
      <c r="M104" s="46" t="n"/>
      <c r="N104" s="46" t="n"/>
      <c r="O104" s="46" t="n"/>
      <c r="P104" s="46" t="n"/>
      <c r="Q104" s="115" t="n"/>
      <c r="R104" s="46" t="n"/>
      <c r="S104" s="46" t="n"/>
      <c r="T104" s="46" t="n"/>
      <c r="U104" s="46" t="n"/>
      <c r="V104" s="46" t="n"/>
      <c r="W104" s="46" t="n"/>
      <c r="X104" s="46" t="n"/>
      <c r="Y104" s="46" t="n"/>
      <c r="Z104" s="46" t="n"/>
    </row>
    <row r="105" ht="12.75" customHeight="1" s="162">
      <c r="A105" s="46" t="n"/>
      <c r="B105" s="46" t="n"/>
      <c r="C105" s="46" t="n"/>
      <c r="D105" s="46" t="n"/>
      <c r="E105" s="46" t="n"/>
      <c r="F105" s="46" t="n"/>
      <c r="G105" s="46" t="n"/>
      <c r="H105" s="46" t="n"/>
      <c r="I105" s="46" t="n"/>
      <c r="J105" s="46" t="n"/>
      <c r="K105" s="46" t="n"/>
      <c r="L105" s="46" t="n"/>
      <c r="M105" s="46" t="n"/>
      <c r="N105" s="46" t="n"/>
      <c r="O105" s="46" t="n"/>
      <c r="P105" s="46" t="n"/>
      <c r="Q105" s="115" t="n"/>
      <c r="R105" s="46" t="n"/>
      <c r="S105" s="46" t="n"/>
      <c r="T105" s="46" t="n"/>
      <c r="U105" s="46" t="n"/>
      <c r="V105" s="46" t="n"/>
      <c r="W105" s="46" t="n"/>
      <c r="X105" s="46" t="n"/>
      <c r="Y105" s="46" t="n"/>
      <c r="Z105" s="46" t="n"/>
    </row>
    <row r="106" ht="12.75" customHeight="1" s="162">
      <c r="A106" s="46" t="n"/>
      <c r="B106" s="46" t="n"/>
      <c r="C106" s="46" t="n"/>
      <c r="D106" s="46" t="n"/>
      <c r="E106" s="46" t="n"/>
      <c r="F106" s="46" t="n"/>
      <c r="G106" s="46" t="n"/>
      <c r="H106" s="46" t="n"/>
      <c r="I106" s="46" t="n"/>
      <c r="J106" s="46" t="n"/>
      <c r="K106" s="46" t="n"/>
      <c r="L106" s="46" t="n"/>
      <c r="M106" s="46" t="n"/>
      <c r="N106" s="46" t="n"/>
      <c r="O106" s="46" t="n"/>
      <c r="P106" s="46" t="n"/>
      <c r="Q106" s="115" t="n"/>
      <c r="R106" s="46" t="n"/>
      <c r="S106" s="46" t="n"/>
      <c r="T106" s="46" t="n"/>
      <c r="U106" s="46" t="n"/>
      <c r="V106" s="46" t="n"/>
      <c r="W106" s="46" t="n"/>
      <c r="X106" s="46" t="n"/>
      <c r="Y106" s="46" t="n"/>
      <c r="Z106" s="46" t="n"/>
    </row>
    <row r="107" ht="12.75" customHeight="1" s="162">
      <c r="A107" s="46" t="n"/>
      <c r="B107" s="46" t="n"/>
      <c r="C107" s="46" t="n"/>
      <c r="D107" s="46" t="n"/>
      <c r="E107" s="46" t="n"/>
      <c r="F107" s="46" t="n"/>
      <c r="G107" s="46" t="n"/>
      <c r="H107" s="46" t="n"/>
      <c r="I107" s="46" t="n"/>
      <c r="J107" s="46" t="n"/>
      <c r="K107" s="46" t="n"/>
      <c r="L107" s="46" t="n"/>
      <c r="M107" s="46" t="n"/>
      <c r="N107" s="46" t="n"/>
      <c r="O107" s="46" t="n"/>
      <c r="P107" s="46" t="n"/>
      <c r="Q107" s="115" t="n"/>
      <c r="R107" s="46" t="n"/>
      <c r="S107" s="46" t="n"/>
      <c r="T107" s="46" t="n"/>
      <c r="U107" s="46" t="n"/>
      <c r="V107" s="46" t="n"/>
      <c r="W107" s="46" t="n"/>
      <c r="X107" s="46" t="n"/>
      <c r="Y107" s="46" t="n"/>
      <c r="Z107" s="46" t="n"/>
    </row>
    <row r="108" ht="12.75" customHeight="1" s="162">
      <c r="A108" s="46" t="n"/>
      <c r="B108" s="46" t="n"/>
      <c r="C108" s="46" t="n"/>
      <c r="D108" s="46" t="n"/>
      <c r="E108" s="46" t="n"/>
      <c r="F108" s="46" t="n"/>
      <c r="G108" s="46" t="n"/>
      <c r="H108" s="46" t="n"/>
      <c r="I108" s="46" t="n"/>
      <c r="J108" s="46" t="n"/>
      <c r="K108" s="46" t="n"/>
      <c r="L108" s="46" t="n"/>
      <c r="M108" s="46" t="n"/>
      <c r="N108" s="46" t="n"/>
      <c r="O108" s="46" t="n"/>
      <c r="P108" s="46" t="n"/>
      <c r="Q108" s="115" t="n"/>
      <c r="R108" s="46" t="n"/>
      <c r="S108" s="46" t="n"/>
      <c r="T108" s="46" t="n"/>
      <c r="U108" s="46" t="n"/>
      <c r="V108" s="46" t="n"/>
      <c r="W108" s="46" t="n"/>
      <c r="X108" s="46" t="n"/>
      <c r="Y108" s="46" t="n"/>
      <c r="Z108" s="46" t="n"/>
    </row>
    <row r="109" ht="12.75" customHeight="1" s="162">
      <c r="A109" s="46" t="n"/>
      <c r="B109" s="46" t="n"/>
      <c r="C109" s="46" t="n"/>
      <c r="D109" s="46" t="n"/>
      <c r="E109" s="46" t="n"/>
      <c r="F109" s="46" t="n"/>
      <c r="G109" s="46" t="n"/>
      <c r="H109" s="46" t="n"/>
      <c r="I109" s="46" t="n"/>
      <c r="J109" s="46" t="n"/>
      <c r="K109" s="46" t="n"/>
      <c r="L109" s="46" t="n"/>
      <c r="M109" s="46" t="n"/>
      <c r="N109" s="46" t="n"/>
      <c r="O109" s="46" t="n"/>
      <c r="P109" s="46" t="n"/>
      <c r="Q109" s="115" t="n"/>
      <c r="R109" s="46" t="n"/>
      <c r="S109" s="46" t="n"/>
      <c r="T109" s="46" t="n"/>
      <c r="U109" s="46" t="n"/>
      <c r="V109" s="46" t="n"/>
      <c r="W109" s="46" t="n"/>
      <c r="X109" s="46" t="n"/>
      <c r="Y109" s="46" t="n"/>
      <c r="Z109" s="46" t="n"/>
    </row>
    <row r="110" ht="12.75" customHeight="1" s="162">
      <c r="A110" s="46" t="n"/>
      <c r="B110" s="46" t="n"/>
      <c r="C110" s="46" t="n"/>
      <c r="D110" s="46" t="n"/>
      <c r="E110" s="46" t="n"/>
      <c r="F110" s="46" t="n"/>
      <c r="G110" s="46" t="n"/>
      <c r="H110" s="46" t="n"/>
      <c r="I110" s="46" t="n"/>
      <c r="J110" s="46" t="n"/>
      <c r="K110" s="46" t="n"/>
      <c r="L110" s="46" t="n"/>
      <c r="M110" s="46" t="n"/>
      <c r="N110" s="46" t="n"/>
      <c r="O110" s="46" t="n"/>
      <c r="P110" s="46" t="n"/>
      <c r="Q110" s="115" t="n"/>
      <c r="R110" s="46" t="n"/>
      <c r="S110" s="46" t="n"/>
      <c r="T110" s="46" t="n"/>
      <c r="U110" s="46" t="n"/>
      <c r="V110" s="46" t="n"/>
      <c r="W110" s="46" t="n"/>
      <c r="X110" s="46" t="n"/>
      <c r="Y110" s="46" t="n"/>
      <c r="Z110" s="46" t="n"/>
    </row>
    <row r="111" ht="12.75" customHeight="1" s="162">
      <c r="A111" s="46" t="n"/>
      <c r="B111" s="46" t="n"/>
      <c r="C111" s="46" t="n"/>
      <c r="D111" s="46" t="n"/>
      <c r="E111" s="46" t="n"/>
      <c r="F111" s="46" t="n"/>
      <c r="G111" s="46" t="n"/>
      <c r="H111" s="46" t="n"/>
      <c r="I111" s="46" t="n"/>
      <c r="J111" s="46" t="n"/>
      <c r="K111" s="46" t="n"/>
      <c r="L111" s="46" t="n"/>
      <c r="M111" s="46" t="n"/>
      <c r="N111" s="46" t="n"/>
      <c r="O111" s="46" t="n"/>
      <c r="P111" s="46" t="n"/>
      <c r="Q111" s="115" t="n"/>
      <c r="R111" s="46" t="n"/>
      <c r="S111" s="46" t="n"/>
      <c r="T111" s="46" t="n"/>
      <c r="U111" s="46" t="n"/>
      <c r="V111" s="46" t="n"/>
      <c r="W111" s="46" t="n"/>
      <c r="X111" s="46" t="n"/>
      <c r="Y111" s="46" t="n"/>
      <c r="Z111" s="46" t="n"/>
    </row>
    <row r="112" ht="12.75" customHeight="1" s="162">
      <c r="A112" s="46" t="n"/>
      <c r="B112" s="46" t="n"/>
      <c r="C112" s="46" t="n"/>
      <c r="D112" s="46" t="n"/>
      <c r="E112" s="46" t="n"/>
      <c r="F112" s="46" t="n"/>
      <c r="G112" s="46" t="n"/>
      <c r="H112" s="46" t="n"/>
      <c r="I112" s="46" t="n"/>
      <c r="J112" s="46" t="n"/>
      <c r="K112" s="46" t="n"/>
      <c r="L112" s="46" t="n"/>
      <c r="M112" s="46" t="n"/>
      <c r="N112" s="46" t="n"/>
      <c r="O112" s="46" t="n"/>
      <c r="P112" s="46" t="n"/>
      <c r="Q112" s="115" t="n"/>
      <c r="R112" s="46" t="n"/>
      <c r="S112" s="46" t="n"/>
      <c r="T112" s="46" t="n"/>
      <c r="U112" s="46" t="n"/>
      <c r="V112" s="46" t="n"/>
      <c r="W112" s="46" t="n"/>
      <c r="X112" s="46" t="n"/>
      <c r="Y112" s="46" t="n"/>
      <c r="Z112" s="46" t="n"/>
    </row>
    <row r="113" ht="12.75" customHeight="1" s="162">
      <c r="A113" s="46" t="n"/>
      <c r="B113" s="46" t="n"/>
      <c r="C113" s="46" t="n"/>
      <c r="D113" s="46" t="n"/>
      <c r="E113" s="46" t="n"/>
      <c r="F113" s="46" t="n"/>
      <c r="G113" s="46" t="n"/>
      <c r="H113" s="46" t="n"/>
      <c r="I113" s="46" t="n"/>
      <c r="J113" s="46" t="n"/>
      <c r="K113" s="46" t="n"/>
      <c r="L113" s="46" t="n"/>
      <c r="M113" s="46" t="n"/>
      <c r="N113" s="46" t="n"/>
      <c r="O113" s="46" t="n"/>
      <c r="P113" s="46" t="n"/>
      <c r="Q113" s="115" t="n"/>
      <c r="R113" s="46" t="n"/>
      <c r="S113" s="46" t="n"/>
      <c r="T113" s="46" t="n"/>
      <c r="U113" s="46" t="n"/>
      <c r="V113" s="46" t="n"/>
      <c r="W113" s="46" t="n"/>
      <c r="X113" s="46" t="n"/>
      <c r="Y113" s="46" t="n"/>
      <c r="Z113" s="46" t="n"/>
    </row>
    <row r="114" ht="12.75" customHeight="1" s="162">
      <c r="A114" s="46" t="n"/>
      <c r="B114" s="46" t="n"/>
      <c r="C114" s="46" t="n"/>
      <c r="D114" s="46" t="n"/>
      <c r="E114" s="46" t="n"/>
      <c r="F114" s="46" t="n"/>
      <c r="G114" s="46" t="n"/>
      <c r="H114" s="46" t="n"/>
      <c r="I114" s="46" t="n"/>
      <c r="J114" s="46" t="n"/>
      <c r="K114" s="46" t="n"/>
      <c r="L114" s="46" t="n"/>
      <c r="M114" s="46" t="n"/>
      <c r="N114" s="46" t="n"/>
      <c r="O114" s="46" t="n"/>
      <c r="P114" s="46" t="n"/>
      <c r="Q114" s="115" t="n"/>
      <c r="R114" s="46" t="n"/>
      <c r="S114" s="46" t="n"/>
      <c r="T114" s="46" t="n"/>
      <c r="U114" s="46" t="n"/>
      <c r="V114" s="46" t="n"/>
      <c r="W114" s="46" t="n"/>
      <c r="X114" s="46" t="n"/>
      <c r="Y114" s="46" t="n"/>
      <c r="Z114" s="46" t="n"/>
    </row>
    <row r="115" ht="12.75" customHeight="1" s="162">
      <c r="A115" s="46" t="n"/>
      <c r="B115" s="46" t="n"/>
      <c r="C115" s="46" t="n"/>
      <c r="D115" s="46" t="n"/>
      <c r="E115" s="46" t="n"/>
      <c r="F115" s="46" t="n"/>
      <c r="G115" s="46" t="n"/>
      <c r="H115" s="46" t="n"/>
      <c r="I115" s="46" t="n"/>
      <c r="J115" s="46" t="n"/>
      <c r="K115" s="46" t="n"/>
      <c r="L115" s="46" t="n"/>
      <c r="M115" s="46" t="n"/>
      <c r="N115" s="46" t="n"/>
      <c r="O115" s="46" t="n"/>
      <c r="P115" s="46" t="n"/>
      <c r="Q115" s="115" t="n"/>
      <c r="R115" s="46" t="n"/>
      <c r="S115" s="46" t="n"/>
      <c r="T115" s="46" t="n"/>
      <c r="U115" s="46" t="n"/>
      <c r="V115" s="46" t="n"/>
      <c r="W115" s="46" t="n"/>
      <c r="X115" s="46" t="n"/>
      <c r="Y115" s="46" t="n"/>
      <c r="Z115" s="46" t="n"/>
    </row>
    <row r="116" ht="12.75" customHeight="1" s="162">
      <c r="A116" s="46" t="n"/>
      <c r="B116" s="46" t="n"/>
      <c r="C116" s="46" t="n"/>
      <c r="D116" s="46" t="n"/>
      <c r="E116" s="46" t="n"/>
      <c r="F116" s="46" t="n"/>
      <c r="G116" s="46" t="n"/>
      <c r="H116" s="46" t="n"/>
      <c r="I116" s="46" t="n"/>
      <c r="J116" s="46" t="n"/>
      <c r="K116" s="46" t="n"/>
      <c r="L116" s="46" t="n"/>
      <c r="M116" s="46" t="n"/>
      <c r="N116" s="46" t="n"/>
      <c r="O116" s="46" t="n"/>
      <c r="P116" s="46" t="n"/>
      <c r="Q116" s="115" t="n"/>
      <c r="R116" s="46" t="n"/>
      <c r="S116" s="46" t="n"/>
      <c r="T116" s="46" t="n"/>
      <c r="U116" s="46" t="n"/>
      <c r="V116" s="46" t="n"/>
      <c r="W116" s="46" t="n"/>
      <c r="X116" s="46" t="n"/>
      <c r="Y116" s="46" t="n"/>
      <c r="Z116" s="46" t="n"/>
    </row>
    <row r="117" ht="12.75" customHeight="1" s="162">
      <c r="A117" s="46" t="n"/>
      <c r="B117" s="46" t="n"/>
      <c r="C117" s="46" t="n"/>
      <c r="D117" s="46" t="n"/>
      <c r="E117" s="46" t="n"/>
      <c r="F117" s="46" t="n"/>
      <c r="G117" s="46" t="n"/>
      <c r="H117" s="46" t="n"/>
      <c r="I117" s="46" t="n"/>
      <c r="J117" s="46" t="n"/>
      <c r="K117" s="46" t="n"/>
      <c r="L117" s="46" t="n"/>
      <c r="M117" s="46" t="n"/>
      <c r="N117" s="46" t="n"/>
      <c r="O117" s="46" t="n"/>
      <c r="P117" s="46" t="n"/>
      <c r="Q117" s="115" t="n"/>
      <c r="R117" s="46" t="n"/>
      <c r="S117" s="46" t="n"/>
      <c r="T117" s="46" t="n"/>
      <c r="U117" s="46" t="n"/>
      <c r="V117" s="46" t="n"/>
      <c r="W117" s="46" t="n"/>
      <c r="X117" s="46" t="n"/>
      <c r="Y117" s="46" t="n"/>
      <c r="Z117" s="46" t="n"/>
    </row>
    <row r="118" ht="12.75" customHeight="1" s="162">
      <c r="A118" s="46" t="n"/>
      <c r="B118" s="46" t="n"/>
      <c r="C118" s="46" t="n"/>
      <c r="D118" s="46" t="n"/>
      <c r="E118" s="46" t="n"/>
      <c r="F118" s="46" t="n"/>
      <c r="G118" s="46" t="n"/>
      <c r="H118" s="46" t="n"/>
      <c r="I118" s="46" t="n"/>
      <c r="J118" s="46" t="n"/>
      <c r="K118" s="46" t="n"/>
      <c r="L118" s="46" t="n"/>
      <c r="M118" s="46" t="n"/>
      <c r="N118" s="46" t="n"/>
      <c r="O118" s="46" t="n"/>
      <c r="P118" s="46" t="n"/>
      <c r="Q118" s="115" t="n"/>
      <c r="R118" s="46" t="n"/>
      <c r="S118" s="46" t="n"/>
      <c r="T118" s="46" t="n"/>
      <c r="U118" s="46" t="n"/>
      <c r="V118" s="46" t="n"/>
      <c r="W118" s="46" t="n"/>
      <c r="X118" s="46" t="n"/>
      <c r="Y118" s="46" t="n"/>
      <c r="Z118" s="46" t="n"/>
    </row>
    <row r="119" ht="12.75" customHeight="1" s="162">
      <c r="A119" s="46" t="n"/>
      <c r="B119" s="46" t="n"/>
      <c r="C119" s="46" t="n"/>
      <c r="D119" s="46" t="n"/>
      <c r="E119" s="46" t="n"/>
      <c r="F119" s="46" t="n"/>
      <c r="G119" s="46" t="n"/>
      <c r="H119" s="46" t="n"/>
      <c r="I119" s="46" t="n"/>
      <c r="J119" s="46" t="n"/>
      <c r="K119" s="46" t="n"/>
      <c r="L119" s="46" t="n"/>
      <c r="M119" s="46" t="n"/>
      <c r="N119" s="46" t="n"/>
      <c r="O119" s="46" t="n"/>
      <c r="P119" s="46" t="n"/>
      <c r="Q119" s="115" t="n"/>
      <c r="R119" s="46" t="n"/>
      <c r="S119" s="46" t="n"/>
      <c r="T119" s="46" t="n"/>
      <c r="U119" s="46" t="n"/>
      <c r="V119" s="46" t="n"/>
      <c r="W119" s="46" t="n"/>
      <c r="X119" s="46" t="n"/>
      <c r="Y119" s="46" t="n"/>
      <c r="Z119" s="46" t="n"/>
    </row>
    <row r="120" ht="12.75" customHeight="1" s="162">
      <c r="A120" s="46" t="n"/>
      <c r="B120" s="46" t="n"/>
      <c r="C120" s="46" t="n"/>
      <c r="D120" s="46" t="n"/>
      <c r="E120" s="46" t="n"/>
      <c r="F120" s="46" t="n"/>
      <c r="G120" s="46" t="n"/>
      <c r="H120" s="46" t="n"/>
      <c r="I120" s="46" t="n"/>
      <c r="J120" s="46" t="n"/>
      <c r="K120" s="46" t="n"/>
      <c r="L120" s="46" t="n"/>
      <c r="M120" s="46" t="n"/>
      <c r="N120" s="46" t="n"/>
      <c r="O120" s="46" t="n"/>
      <c r="P120" s="46" t="n"/>
      <c r="Q120" s="115" t="n"/>
      <c r="R120" s="46" t="n"/>
      <c r="S120" s="46" t="n"/>
      <c r="T120" s="46" t="n"/>
      <c r="U120" s="46" t="n"/>
      <c r="V120" s="46" t="n"/>
      <c r="W120" s="46" t="n"/>
      <c r="X120" s="46" t="n"/>
      <c r="Y120" s="46" t="n"/>
      <c r="Z120" s="46" t="n"/>
    </row>
    <row r="121" ht="12.75" customHeight="1" s="162">
      <c r="A121" s="46" t="n"/>
      <c r="B121" s="46" t="n"/>
      <c r="C121" s="46" t="n"/>
      <c r="D121" s="46" t="n"/>
      <c r="E121" s="46" t="n"/>
      <c r="F121" s="46" t="n"/>
      <c r="G121" s="46" t="n"/>
      <c r="H121" s="46" t="n"/>
      <c r="I121" s="46" t="n"/>
      <c r="J121" s="46" t="n"/>
      <c r="K121" s="46" t="n"/>
      <c r="L121" s="46" t="n"/>
      <c r="M121" s="46" t="n"/>
      <c r="N121" s="46" t="n"/>
      <c r="O121" s="46" t="n"/>
      <c r="P121" s="46" t="n"/>
      <c r="Q121" s="115" t="n"/>
      <c r="R121" s="46" t="n"/>
      <c r="S121" s="46" t="n"/>
      <c r="T121" s="46" t="n"/>
      <c r="U121" s="46" t="n"/>
      <c r="V121" s="46" t="n"/>
      <c r="W121" s="46" t="n"/>
      <c r="X121" s="46" t="n"/>
      <c r="Y121" s="46" t="n"/>
      <c r="Z121" s="46" t="n"/>
    </row>
    <row r="122" ht="12.75" customHeight="1" s="162">
      <c r="A122" s="46" t="n"/>
      <c r="B122" s="46" t="n"/>
      <c r="C122" s="46" t="n"/>
      <c r="D122" s="46" t="n"/>
      <c r="E122" s="46" t="n"/>
      <c r="F122" s="46" t="n"/>
      <c r="G122" s="46" t="n"/>
      <c r="H122" s="46" t="n"/>
      <c r="I122" s="46" t="n"/>
      <c r="J122" s="46" t="n"/>
      <c r="K122" s="46" t="n"/>
      <c r="L122" s="46" t="n"/>
      <c r="M122" s="46" t="n"/>
      <c r="N122" s="46" t="n"/>
      <c r="O122" s="46" t="n"/>
      <c r="P122" s="46" t="n"/>
      <c r="Q122" s="115" t="n"/>
      <c r="R122" s="46" t="n"/>
      <c r="S122" s="46" t="n"/>
      <c r="T122" s="46" t="n"/>
      <c r="U122" s="46" t="n"/>
      <c r="V122" s="46" t="n"/>
      <c r="W122" s="46" t="n"/>
      <c r="X122" s="46" t="n"/>
      <c r="Y122" s="46" t="n"/>
      <c r="Z122" s="46" t="n"/>
    </row>
    <row r="123" ht="12.75" customHeight="1" s="162">
      <c r="A123" s="46" t="n"/>
      <c r="B123" s="46" t="n"/>
      <c r="C123" s="46" t="n"/>
      <c r="D123" s="46" t="n"/>
      <c r="E123" s="46" t="n"/>
      <c r="F123" s="46" t="n"/>
      <c r="G123" s="46" t="n"/>
      <c r="H123" s="46" t="n"/>
      <c r="I123" s="46" t="n"/>
      <c r="J123" s="46" t="n"/>
      <c r="K123" s="46" t="n"/>
      <c r="L123" s="46" t="n"/>
      <c r="M123" s="46" t="n"/>
      <c r="N123" s="46" t="n"/>
      <c r="O123" s="46" t="n"/>
      <c r="P123" s="46" t="n"/>
      <c r="Q123" s="115" t="n"/>
      <c r="R123" s="46" t="n"/>
      <c r="S123" s="46" t="n"/>
      <c r="T123" s="46" t="n"/>
      <c r="U123" s="46" t="n"/>
      <c r="V123" s="46" t="n"/>
      <c r="W123" s="46" t="n"/>
      <c r="X123" s="46" t="n"/>
      <c r="Y123" s="46" t="n"/>
      <c r="Z123" s="46" t="n"/>
    </row>
    <row r="124" ht="12.75" customHeight="1" s="162">
      <c r="A124" s="46" t="n"/>
      <c r="B124" s="46" t="n"/>
      <c r="C124" s="46" t="n"/>
      <c r="D124" s="46" t="n"/>
      <c r="E124" s="46" t="n"/>
      <c r="F124" s="46" t="n"/>
      <c r="G124" s="46" t="n"/>
      <c r="H124" s="46" t="n"/>
      <c r="I124" s="46" t="n"/>
      <c r="J124" s="46" t="n"/>
      <c r="K124" s="46" t="n"/>
      <c r="L124" s="46" t="n"/>
      <c r="M124" s="46" t="n"/>
      <c r="N124" s="46" t="n"/>
      <c r="O124" s="46" t="n"/>
      <c r="P124" s="46" t="n"/>
      <c r="Q124" s="115" t="n"/>
      <c r="R124" s="46" t="n"/>
      <c r="S124" s="46" t="n"/>
      <c r="T124" s="46" t="n"/>
      <c r="U124" s="46" t="n"/>
      <c r="V124" s="46" t="n"/>
      <c r="W124" s="46" t="n"/>
      <c r="X124" s="46" t="n"/>
      <c r="Y124" s="46" t="n"/>
      <c r="Z124" s="46" t="n"/>
    </row>
    <row r="125" ht="12.75" customHeight="1" s="162">
      <c r="A125" s="46" t="n"/>
      <c r="B125" s="46" t="n"/>
      <c r="C125" s="46" t="n"/>
      <c r="D125" s="46" t="n"/>
      <c r="E125" s="46" t="n"/>
      <c r="F125" s="46" t="n"/>
      <c r="G125" s="46" t="n"/>
      <c r="H125" s="46" t="n"/>
      <c r="I125" s="46" t="n"/>
      <c r="J125" s="46" t="n"/>
      <c r="K125" s="46" t="n"/>
      <c r="L125" s="46" t="n"/>
      <c r="M125" s="46" t="n"/>
      <c r="N125" s="46" t="n"/>
      <c r="O125" s="46" t="n"/>
      <c r="P125" s="46" t="n"/>
      <c r="Q125" s="115" t="n"/>
      <c r="R125" s="46" t="n"/>
      <c r="S125" s="46" t="n"/>
      <c r="T125" s="46" t="n"/>
      <c r="U125" s="46" t="n"/>
      <c r="V125" s="46" t="n"/>
      <c r="W125" s="46" t="n"/>
      <c r="X125" s="46" t="n"/>
      <c r="Y125" s="46" t="n"/>
      <c r="Z125" s="46" t="n"/>
    </row>
    <row r="126" ht="12.75" customHeight="1" s="162">
      <c r="A126" s="46" t="n"/>
      <c r="B126" s="46" t="n"/>
      <c r="C126" s="46" t="n"/>
      <c r="D126" s="46" t="n"/>
      <c r="E126" s="46" t="n"/>
      <c r="F126" s="46" t="n"/>
      <c r="G126" s="46" t="n"/>
      <c r="H126" s="46" t="n"/>
      <c r="I126" s="46" t="n"/>
      <c r="J126" s="46" t="n"/>
      <c r="K126" s="46" t="n"/>
      <c r="L126" s="46" t="n"/>
      <c r="M126" s="46" t="n"/>
      <c r="N126" s="46" t="n"/>
      <c r="O126" s="46" t="n"/>
      <c r="P126" s="46" t="n"/>
      <c r="Q126" s="115" t="n"/>
      <c r="R126" s="46" t="n"/>
      <c r="S126" s="46" t="n"/>
      <c r="T126" s="46" t="n"/>
      <c r="U126" s="46" t="n"/>
      <c r="V126" s="46" t="n"/>
      <c r="W126" s="46" t="n"/>
      <c r="X126" s="46" t="n"/>
      <c r="Y126" s="46" t="n"/>
      <c r="Z126" s="46" t="n"/>
    </row>
    <row r="127" ht="12.75" customHeight="1" s="162">
      <c r="A127" s="46" t="n"/>
      <c r="B127" s="46" t="n"/>
      <c r="C127" s="46" t="n"/>
      <c r="D127" s="46" t="n"/>
      <c r="E127" s="46" t="n"/>
      <c r="F127" s="46" t="n"/>
      <c r="G127" s="46" t="n"/>
      <c r="H127" s="46" t="n"/>
      <c r="I127" s="46" t="n"/>
      <c r="J127" s="46" t="n"/>
      <c r="K127" s="46" t="n"/>
      <c r="L127" s="46" t="n"/>
      <c r="M127" s="46" t="n"/>
      <c r="N127" s="46" t="n"/>
      <c r="O127" s="46" t="n"/>
      <c r="P127" s="46" t="n"/>
      <c r="Q127" s="115" t="n"/>
      <c r="R127" s="46" t="n"/>
      <c r="S127" s="46" t="n"/>
      <c r="T127" s="46" t="n"/>
      <c r="U127" s="46" t="n"/>
      <c r="V127" s="46" t="n"/>
      <c r="W127" s="46" t="n"/>
      <c r="X127" s="46" t="n"/>
      <c r="Y127" s="46" t="n"/>
      <c r="Z127" s="46" t="n"/>
    </row>
    <row r="128" ht="12.75" customHeight="1" s="162">
      <c r="A128" s="46" t="n"/>
      <c r="B128" s="46" t="n"/>
      <c r="C128" s="46" t="n"/>
      <c r="D128" s="46" t="n"/>
      <c r="E128" s="46" t="n"/>
      <c r="F128" s="46" t="n"/>
      <c r="G128" s="46" t="n"/>
      <c r="H128" s="46" t="n"/>
      <c r="I128" s="46" t="n"/>
      <c r="J128" s="46" t="n"/>
      <c r="K128" s="46" t="n"/>
      <c r="L128" s="46" t="n"/>
      <c r="M128" s="46" t="n"/>
      <c r="N128" s="46" t="n"/>
      <c r="O128" s="46" t="n"/>
      <c r="P128" s="46" t="n"/>
      <c r="Q128" s="115" t="n"/>
      <c r="R128" s="46" t="n"/>
      <c r="S128" s="46" t="n"/>
      <c r="T128" s="46" t="n"/>
      <c r="U128" s="46" t="n"/>
      <c r="V128" s="46" t="n"/>
      <c r="W128" s="46" t="n"/>
      <c r="X128" s="46" t="n"/>
      <c r="Y128" s="46" t="n"/>
      <c r="Z128" s="46" t="n"/>
    </row>
    <row r="129" ht="12.75" customHeight="1" s="162">
      <c r="A129" s="46" t="n"/>
      <c r="B129" s="46" t="n"/>
      <c r="C129" s="46" t="n"/>
      <c r="D129" s="46" t="n"/>
      <c r="E129" s="46" t="n"/>
      <c r="F129" s="46" t="n"/>
      <c r="G129" s="46" t="n"/>
      <c r="H129" s="46" t="n"/>
      <c r="I129" s="46" t="n"/>
      <c r="J129" s="46" t="n"/>
      <c r="K129" s="46" t="n"/>
      <c r="L129" s="46" t="n"/>
      <c r="M129" s="46" t="n"/>
      <c r="N129" s="46" t="n"/>
      <c r="O129" s="46" t="n"/>
      <c r="P129" s="46" t="n"/>
      <c r="Q129" s="115" t="n"/>
      <c r="R129" s="46" t="n"/>
      <c r="S129" s="46" t="n"/>
      <c r="T129" s="46" t="n"/>
      <c r="U129" s="46" t="n"/>
      <c r="V129" s="46" t="n"/>
      <c r="W129" s="46" t="n"/>
      <c r="X129" s="46" t="n"/>
      <c r="Y129" s="46" t="n"/>
      <c r="Z129" s="46" t="n"/>
    </row>
    <row r="130" ht="12.75" customHeight="1" s="162">
      <c r="A130" s="46" t="n"/>
      <c r="B130" s="46" t="n"/>
      <c r="C130" s="46" t="n"/>
      <c r="D130" s="46" t="n"/>
      <c r="E130" s="46" t="n"/>
      <c r="F130" s="46" t="n"/>
      <c r="G130" s="46" t="n"/>
      <c r="H130" s="46" t="n"/>
      <c r="I130" s="46" t="n"/>
      <c r="J130" s="46" t="n"/>
      <c r="K130" s="46" t="n"/>
      <c r="L130" s="46" t="n"/>
      <c r="M130" s="46" t="n"/>
      <c r="N130" s="46" t="n"/>
      <c r="O130" s="46" t="n"/>
      <c r="P130" s="46" t="n"/>
      <c r="Q130" s="115" t="n"/>
      <c r="R130" s="46" t="n"/>
      <c r="S130" s="46" t="n"/>
      <c r="T130" s="46" t="n"/>
      <c r="U130" s="46" t="n"/>
      <c r="V130" s="46" t="n"/>
      <c r="W130" s="46" t="n"/>
      <c r="X130" s="46" t="n"/>
      <c r="Y130" s="46" t="n"/>
      <c r="Z130" s="46" t="n"/>
    </row>
    <row r="131" ht="12.75" customHeight="1" s="162">
      <c r="A131" s="46" t="n"/>
      <c r="B131" s="46" t="n"/>
      <c r="C131" s="46" t="n"/>
      <c r="D131" s="46" t="n"/>
      <c r="E131" s="46" t="n"/>
      <c r="F131" s="46" t="n"/>
      <c r="G131" s="46" t="n"/>
      <c r="H131" s="46" t="n"/>
      <c r="I131" s="46" t="n"/>
      <c r="J131" s="46" t="n"/>
      <c r="K131" s="46" t="n"/>
      <c r="L131" s="46" t="n"/>
      <c r="M131" s="46" t="n"/>
      <c r="N131" s="46" t="n"/>
      <c r="O131" s="46" t="n"/>
      <c r="P131" s="46" t="n"/>
      <c r="Q131" s="115" t="n"/>
      <c r="R131" s="46" t="n"/>
      <c r="S131" s="46" t="n"/>
      <c r="T131" s="46" t="n"/>
      <c r="U131" s="46" t="n"/>
      <c r="V131" s="46" t="n"/>
      <c r="W131" s="46" t="n"/>
      <c r="X131" s="46" t="n"/>
      <c r="Y131" s="46" t="n"/>
      <c r="Z131" s="46" t="n"/>
    </row>
    <row r="132" ht="12.75" customHeight="1" s="162">
      <c r="A132" s="46" t="n"/>
      <c r="B132" s="46" t="n"/>
      <c r="C132" s="46" t="n"/>
      <c r="D132" s="46" t="n"/>
      <c r="E132" s="46" t="n"/>
      <c r="F132" s="46" t="n"/>
      <c r="G132" s="46" t="n"/>
      <c r="H132" s="46" t="n"/>
      <c r="I132" s="46" t="n"/>
      <c r="J132" s="46" t="n"/>
      <c r="K132" s="46" t="n"/>
      <c r="L132" s="46" t="n"/>
      <c r="M132" s="46" t="n"/>
      <c r="N132" s="46" t="n"/>
      <c r="O132" s="46" t="n"/>
      <c r="P132" s="46" t="n"/>
      <c r="Q132" s="115" t="n"/>
      <c r="R132" s="46" t="n"/>
      <c r="S132" s="46" t="n"/>
      <c r="T132" s="46" t="n"/>
      <c r="U132" s="46" t="n"/>
      <c r="V132" s="46" t="n"/>
      <c r="W132" s="46" t="n"/>
      <c r="X132" s="46" t="n"/>
      <c r="Y132" s="46" t="n"/>
      <c r="Z132" s="46" t="n"/>
    </row>
    <row r="133" ht="12.75" customHeight="1" s="162">
      <c r="A133" s="46" t="n"/>
      <c r="B133" s="46" t="n"/>
      <c r="C133" s="46" t="n"/>
      <c r="D133" s="46" t="n"/>
      <c r="E133" s="46" t="n"/>
      <c r="F133" s="46" t="n"/>
      <c r="G133" s="46" t="n"/>
      <c r="H133" s="46" t="n"/>
      <c r="I133" s="46" t="n"/>
      <c r="J133" s="46" t="n"/>
      <c r="K133" s="46" t="n"/>
      <c r="L133" s="46" t="n"/>
      <c r="M133" s="46" t="n"/>
      <c r="N133" s="46" t="n"/>
      <c r="O133" s="46" t="n"/>
      <c r="P133" s="46" t="n"/>
      <c r="Q133" s="115" t="n"/>
      <c r="R133" s="46" t="n"/>
      <c r="S133" s="46" t="n"/>
      <c r="T133" s="46" t="n"/>
      <c r="U133" s="46" t="n"/>
      <c r="V133" s="46" t="n"/>
      <c r="W133" s="46" t="n"/>
      <c r="X133" s="46" t="n"/>
      <c r="Y133" s="46" t="n"/>
      <c r="Z133" s="46" t="n"/>
    </row>
    <row r="134" ht="12.75" customHeight="1" s="162">
      <c r="A134" s="46" t="n"/>
      <c r="B134" s="46" t="n"/>
      <c r="C134" s="46" t="n"/>
      <c r="D134" s="46" t="n"/>
      <c r="E134" s="46" t="n"/>
      <c r="F134" s="46" t="n"/>
      <c r="G134" s="46" t="n"/>
      <c r="H134" s="46" t="n"/>
      <c r="I134" s="46" t="n"/>
      <c r="J134" s="46" t="n"/>
      <c r="K134" s="46" t="n"/>
      <c r="L134" s="46" t="n"/>
      <c r="M134" s="46" t="n"/>
      <c r="N134" s="46" t="n"/>
      <c r="O134" s="46" t="n"/>
      <c r="P134" s="46" t="n"/>
      <c r="Q134" s="115" t="n"/>
      <c r="R134" s="46" t="n"/>
      <c r="S134" s="46" t="n"/>
      <c r="T134" s="46" t="n"/>
      <c r="U134" s="46" t="n"/>
      <c r="V134" s="46" t="n"/>
      <c r="W134" s="46" t="n"/>
      <c r="X134" s="46" t="n"/>
      <c r="Y134" s="46" t="n"/>
      <c r="Z134" s="46" t="n"/>
    </row>
    <row r="135" ht="12.75" customHeight="1" s="162">
      <c r="A135" s="46" t="n"/>
      <c r="B135" s="46" t="n"/>
      <c r="C135" s="46" t="n"/>
      <c r="D135" s="46" t="n"/>
      <c r="E135" s="46" t="n"/>
      <c r="F135" s="46" t="n"/>
      <c r="G135" s="46" t="n"/>
      <c r="H135" s="46" t="n"/>
      <c r="I135" s="46" t="n"/>
      <c r="J135" s="46" t="n"/>
      <c r="K135" s="46" t="n"/>
      <c r="L135" s="46" t="n"/>
      <c r="M135" s="46" t="n"/>
      <c r="N135" s="46" t="n"/>
      <c r="O135" s="46" t="n"/>
      <c r="P135" s="46" t="n"/>
      <c r="Q135" s="115" t="n"/>
      <c r="R135" s="46" t="n"/>
      <c r="S135" s="46" t="n"/>
      <c r="T135" s="46" t="n"/>
      <c r="U135" s="46" t="n"/>
      <c r="V135" s="46" t="n"/>
      <c r="W135" s="46" t="n"/>
      <c r="X135" s="46" t="n"/>
      <c r="Y135" s="46" t="n"/>
      <c r="Z135" s="46" t="n"/>
    </row>
    <row r="136" ht="12.75" customHeight="1" s="162">
      <c r="A136" s="46" t="n"/>
      <c r="B136" s="46" t="n"/>
      <c r="C136" s="46" t="n"/>
      <c r="D136" s="46" t="n"/>
      <c r="E136" s="46" t="n"/>
      <c r="F136" s="46" t="n"/>
      <c r="G136" s="46" t="n"/>
      <c r="H136" s="46" t="n"/>
      <c r="I136" s="46" t="n"/>
      <c r="J136" s="46" t="n"/>
      <c r="K136" s="46" t="n"/>
      <c r="L136" s="46" t="n"/>
      <c r="M136" s="46" t="n"/>
      <c r="N136" s="46" t="n"/>
      <c r="O136" s="46" t="n"/>
      <c r="P136" s="46" t="n"/>
      <c r="Q136" s="115" t="n"/>
      <c r="R136" s="46" t="n"/>
      <c r="S136" s="46" t="n"/>
      <c r="T136" s="46" t="n"/>
      <c r="U136" s="46" t="n"/>
      <c r="V136" s="46" t="n"/>
      <c r="W136" s="46" t="n"/>
      <c r="X136" s="46" t="n"/>
      <c r="Y136" s="46" t="n"/>
      <c r="Z136" s="46" t="n"/>
    </row>
    <row r="137" ht="12.75" customHeight="1" s="162">
      <c r="A137" s="46" t="n"/>
      <c r="B137" s="46" t="n"/>
      <c r="C137" s="46" t="n"/>
      <c r="D137" s="46" t="n"/>
      <c r="E137" s="46" t="n"/>
      <c r="F137" s="46" t="n"/>
      <c r="G137" s="46" t="n"/>
      <c r="H137" s="46" t="n"/>
      <c r="I137" s="46" t="n"/>
      <c r="J137" s="46" t="n"/>
      <c r="K137" s="46" t="n"/>
      <c r="L137" s="46" t="n"/>
      <c r="M137" s="46" t="n"/>
      <c r="N137" s="46" t="n"/>
      <c r="O137" s="46" t="n"/>
      <c r="P137" s="46" t="n"/>
      <c r="Q137" s="115" t="n"/>
      <c r="R137" s="46" t="n"/>
      <c r="S137" s="46" t="n"/>
      <c r="T137" s="46" t="n"/>
      <c r="U137" s="46" t="n"/>
      <c r="V137" s="46" t="n"/>
      <c r="W137" s="46" t="n"/>
      <c r="X137" s="46" t="n"/>
      <c r="Y137" s="46" t="n"/>
      <c r="Z137" s="46" t="n"/>
    </row>
    <row r="138" ht="12.75" customHeight="1" s="162">
      <c r="A138" s="46" t="n"/>
      <c r="B138" s="46" t="n"/>
      <c r="C138" s="46" t="n"/>
      <c r="D138" s="46" t="n"/>
      <c r="E138" s="46" t="n"/>
      <c r="F138" s="46" t="n"/>
      <c r="G138" s="46" t="n"/>
      <c r="H138" s="46" t="n"/>
      <c r="I138" s="46" t="n"/>
      <c r="J138" s="46" t="n"/>
      <c r="K138" s="46" t="n"/>
      <c r="L138" s="46" t="n"/>
      <c r="M138" s="46" t="n"/>
      <c r="N138" s="46" t="n"/>
      <c r="O138" s="46" t="n"/>
      <c r="P138" s="46" t="n"/>
      <c r="Q138" s="115" t="n"/>
      <c r="R138" s="46" t="n"/>
      <c r="S138" s="46" t="n"/>
      <c r="T138" s="46" t="n"/>
      <c r="U138" s="46" t="n"/>
      <c r="V138" s="46" t="n"/>
      <c r="W138" s="46" t="n"/>
      <c r="X138" s="46" t="n"/>
      <c r="Y138" s="46" t="n"/>
      <c r="Z138" s="46" t="n"/>
    </row>
    <row r="139" ht="12.75" customHeight="1" s="162">
      <c r="A139" s="46" t="n"/>
      <c r="B139" s="46" t="n"/>
      <c r="C139" s="46" t="n"/>
      <c r="D139" s="46" t="n"/>
      <c r="E139" s="46" t="n"/>
      <c r="F139" s="46" t="n"/>
      <c r="G139" s="46" t="n"/>
      <c r="H139" s="46" t="n"/>
      <c r="I139" s="46" t="n"/>
      <c r="J139" s="46" t="n"/>
      <c r="K139" s="46" t="n"/>
      <c r="L139" s="46" t="n"/>
      <c r="M139" s="46" t="n"/>
      <c r="N139" s="46" t="n"/>
      <c r="O139" s="46" t="n"/>
      <c r="P139" s="46" t="n"/>
      <c r="Q139" s="115" t="n"/>
      <c r="R139" s="46" t="n"/>
      <c r="S139" s="46" t="n"/>
      <c r="T139" s="46" t="n"/>
      <c r="U139" s="46" t="n"/>
      <c r="V139" s="46" t="n"/>
      <c r="W139" s="46" t="n"/>
      <c r="X139" s="46" t="n"/>
      <c r="Y139" s="46" t="n"/>
      <c r="Z139" s="46" t="n"/>
    </row>
    <row r="140" ht="12.75" customHeight="1" s="162">
      <c r="A140" s="46" t="n"/>
      <c r="B140" s="46" t="n"/>
      <c r="C140" s="46" t="n"/>
      <c r="D140" s="46" t="n"/>
      <c r="E140" s="46" t="n"/>
      <c r="F140" s="46" t="n"/>
      <c r="G140" s="46" t="n"/>
      <c r="H140" s="46" t="n"/>
      <c r="I140" s="46" t="n"/>
      <c r="J140" s="46" t="n"/>
      <c r="K140" s="46" t="n"/>
      <c r="L140" s="46" t="n"/>
      <c r="M140" s="46" t="n"/>
      <c r="N140" s="46" t="n"/>
      <c r="O140" s="46" t="n"/>
      <c r="P140" s="46" t="n"/>
      <c r="Q140" s="115" t="n"/>
      <c r="R140" s="46" t="n"/>
      <c r="S140" s="46" t="n"/>
      <c r="T140" s="46" t="n"/>
      <c r="U140" s="46" t="n"/>
      <c r="V140" s="46" t="n"/>
      <c r="W140" s="46" t="n"/>
      <c r="X140" s="46" t="n"/>
      <c r="Y140" s="46" t="n"/>
      <c r="Z140" s="46" t="n"/>
    </row>
    <row r="141" ht="12.75" customHeight="1" s="162">
      <c r="A141" s="46" t="n"/>
      <c r="B141" s="46" t="n"/>
      <c r="C141" s="46" t="n"/>
      <c r="D141" s="46" t="n"/>
      <c r="E141" s="46" t="n"/>
      <c r="F141" s="46" t="n"/>
      <c r="G141" s="46" t="n"/>
      <c r="H141" s="46" t="n"/>
      <c r="I141" s="46" t="n"/>
      <c r="J141" s="46" t="n"/>
      <c r="K141" s="46" t="n"/>
      <c r="L141" s="46" t="n"/>
      <c r="M141" s="46" t="n"/>
      <c r="N141" s="46" t="n"/>
      <c r="O141" s="46" t="n"/>
      <c r="P141" s="46" t="n"/>
      <c r="Q141" s="115" t="n"/>
      <c r="R141" s="46" t="n"/>
      <c r="S141" s="46" t="n"/>
      <c r="T141" s="46" t="n"/>
      <c r="U141" s="46" t="n"/>
      <c r="V141" s="46" t="n"/>
      <c r="W141" s="46" t="n"/>
      <c r="X141" s="46" t="n"/>
      <c r="Y141" s="46" t="n"/>
      <c r="Z141" s="46" t="n"/>
    </row>
    <row r="142" ht="12.75" customHeight="1" s="162">
      <c r="A142" s="46" t="n"/>
      <c r="B142" s="46" t="n"/>
      <c r="C142" s="46" t="n"/>
      <c r="D142" s="46" t="n"/>
      <c r="E142" s="46" t="n"/>
      <c r="F142" s="46" t="n"/>
      <c r="G142" s="46" t="n"/>
      <c r="H142" s="46" t="n"/>
      <c r="I142" s="46" t="n"/>
      <c r="J142" s="46" t="n"/>
      <c r="K142" s="46" t="n"/>
      <c r="L142" s="46" t="n"/>
      <c r="M142" s="46" t="n"/>
      <c r="N142" s="46" t="n"/>
      <c r="O142" s="46" t="n"/>
      <c r="P142" s="46" t="n"/>
      <c r="Q142" s="115" t="n"/>
      <c r="R142" s="46" t="n"/>
      <c r="S142" s="46" t="n"/>
      <c r="T142" s="46" t="n"/>
      <c r="U142" s="46" t="n"/>
      <c r="V142" s="46" t="n"/>
      <c r="W142" s="46" t="n"/>
      <c r="X142" s="46" t="n"/>
      <c r="Y142" s="46" t="n"/>
      <c r="Z142" s="46" t="n"/>
    </row>
    <row r="143" ht="12.75" customHeight="1" s="162">
      <c r="A143" s="46" t="n"/>
      <c r="B143" s="46" t="n"/>
      <c r="C143" s="46" t="n"/>
      <c r="D143" s="46" t="n"/>
      <c r="E143" s="46" t="n"/>
      <c r="F143" s="46" t="n"/>
      <c r="G143" s="46" t="n"/>
      <c r="H143" s="46" t="n"/>
      <c r="I143" s="46" t="n"/>
      <c r="J143" s="46" t="n"/>
      <c r="K143" s="46" t="n"/>
      <c r="L143" s="46" t="n"/>
      <c r="M143" s="46" t="n"/>
      <c r="N143" s="46" t="n"/>
      <c r="O143" s="46" t="n"/>
      <c r="P143" s="46" t="n"/>
      <c r="Q143" s="115" t="n"/>
      <c r="R143" s="46" t="n"/>
      <c r="S143" s="46" t="n"/>
      <c r="T143" s="46" t="n"/>
      <c r="U143" s="46" t="n"/>
      <c r="V143" s="46" t="n"/>
      <c r="W143" s="46" t="n"/>
      <c r="X143" s="46" t="n"/>
      <c r="Y143" s="46" t="n"/>
      <c r="Z143" s="46" t="n"/>
    </row>
    <row r="144" ht="12.75" customHeight="1" s="162">
      <c r="A144" s="46" t="n"/>
      <c r="B144" s="46" t="n"/>
      <c r="C144" s="46" t="n"/>
      <c r="D144" s="46" t="n"/>
      <c r="E144" s="46" t="n"/>
      <c r="F144" s="46" t="n"/>
      <c r="G144" s="46" t="n"/>
      <c r="H144" s="46" t="n"/>
      <c r="I144" s="46" t="n"/>
      <c r="J144" s="46" t="n"/>
      <c r="K144" s="46" t="n"/>
      <c r="L144" s="46" t="n"/>
      <c r="M144" s="46" t="n"/>
      <c r="N144" s="46" t="n"/>
      <c r="O144" s="46" t="n"/>
      <c r="P144" s="46" t="n"/>
      <c r="Q144" s="115" t="n"/>
      <c r="R144" s="46" t="n"/>
      <c r="S144" s="46" t="n"/>
      <c r="T144" s="46" t="n"/>
      <c r="U144" s="46" t="n"/>
      <c r="V144" s="46" t="n"/>
      <c r="W144" s="46" t="n"/>
      <c r="X144" s="46" t="n"/>
      <c r="Y144" s="46" t="n"/>
      <c r="Z144" s="46" t="n"/>
    </row>
    <row r="145" ht="12.75" customHeight="1" s="162">
      <c r="A145" s="46" t="n"/>
      <c r="B145" s="46" t="n"/>
      <c r="C145" s="46" t="n"/>
      <c r="D145" s="46" t="n"/>
      <c r="E145" s="46" t="n"/>
      <c r="F145" s="46" t="n"/>
      <c r="G145" s="46" t="n"/>
      <c r="H145" s="46" t="n"/>
      <c r="I145" s="46" t="n"/>
      <c r="J145" s="46" t="n"/>
      <c r="K145" s="46" t="n"/>
      <c r="L145" s="46" t="n"/>
      <c r="M145" s="46" t="n"/>
      <c r="N145" s="46" t="n"/>
      <c r="O145" s="46" t="n"/>
      <c r="P145" s="46" t="n"/>
      <c r="Q145" s="115" t="n"/>
      <c r="R145" s="46" t="n"/>
      <c r="S145" s="46" t="n"/>
      <c r="T145" s="46" t="n"/>
      <c r="U145" s="46" t="n"/>
      <c r="V145" s="46" t="n"/>
      <c r="W145" s="46" t="n"/>
      <c r="X145" s="46" t="n"/>
      <c r="Y145" s="46" t="n"/>
      <c r="Z145" s="46" t="n"/>
    </row>
    <row r="146" ht="12.75" customHeight="1" s="162">
      <c r="A146" s="46" t="n"/>
      <c r="B146" s="46" t="n"/>
      <c r="C146" s="46" t="n"/>
      <c r="D146" s="46" t="n"/>
      <c r="E146" s="46" t="n"/>
      <c r="F146" s="46" t="n"/>
      <c r="G146" s="46" t="n"/>
      <c r="H146" s="46" t="n"/>
      <c r="I146" s="46" t="n"/>
      <c r="J146" s="46" t="n"/>
      <c r="K146" s="46" t="n"/>
      <c r="L146" s="46" t="n"/>
      <c r="M146" s="46" t="n"/>
      <c r="N146" s="46" t="n"/>
      <c r="O146" s="46" t="n"/>
      <c r="P146" s="46" t="n"/>
      <c r="Q146" s="115" t="n"/>
      <c r="R146" s="46" t="n"/>
      <c r="S146" s="46" t="n"/>
      <c r="T146" s="46" t="n"/>
      <c r="U146" s="46" t="n"/>
      <c r="V146" s="46" t="n"/>
      <c r="W146" s="46" t="n"/>
      <c r="X146" s="46" t="n"/>
      <c r="Y146" s="46" t="n"/>
      <c r="Z146" s="46" t="n"/>
    </row>
    <row r="147" ht="12.75" customHeight="1" s="162">
      <c r="A147" s="46" t="n"/>
      <c r="B147" s="46" t="n"/>
      <c r="C147" s="46" t="n"/>
      <c r="D147" s="46" t="n"/>
      <c r="E147" s="46" t="n"/>
      <c r="F147" s="46" t="n"/>
      <c r="G147" s="46" t="n"/>
      <c r="H147" s="46" t="n"/>
      <c r="I147" s="46" t="n"/>
      <c r="J147" s="46" t="n"/>
      <c r="K147" s="46" t="n"/>
      <c r="L147" s="46" t="n"/>
      <c r="M147" s="46" t="n"/>
      <c r="N147" s="46" t="n"/>
      <c r="O147" s="46" t="n"/>
      <c r="P147" s="46" t="n"/>
      <c r="Q147" s="115" t="n"/>
      <c r="R147" s="46" t="n"/>
      <c r="S147" s="46" t="n"/>
      <c r="T147" s="46" t="n"/>
      <c r="U147" s="46" t="n"/>
      <c r="V147" s="46" t="n"/>
      <c r="W147" s="46" t="n"/>
      <c r="X147" s="46" t="n"/>
      <c r="Y147" s="46" t="n"/>
      <c r="Z147" s="46" t="n"/>
    </row>
    <row r="148" ht="12.75" customHeight="1" s="162">
      <c r="A148" s="46" t="n"/>
      <c r="B148" s="46" t="n"/>
      <c r="C148" s="46" t="n"/>
      <c r="D148" s="46" t="n"/>
      <c r="E148" s="46" t="n"/>
      <c r="F148" s="46" t="n"/>
      <c r="G148" s="46" t="n"/>
      <c r="H148" s="46" t="n"/>
      <c r="I148" s="46" t="n"/>
      <c r="J148" s="46" t="n"/>
      <c r="K148" s="46" t="n"/>
      <c r="L148" s="46" t="n"/>
      <c r="M148" s="46" t="n"/>
      <c r="N148" s="46" t="n"/>
      <c r="O148" s="46" t="n"/>
      <c r="P148" s="46" t="n"/>
      <c r="Q148" s="115" t="n"/>
      <c r="R148" s="46" t="n"/>
      <c r="S148" s="46" t="n"/>
      <c r="T148" s="46" t="n"/>
      <c r="U148" s="46" t="n"/>
      <c r="V148" s="46" t="n"/>
      <c r="W148" s="46" t="n"/>
      <c r="X148" s="46" t="n"/>
      <c r="Y148" s="46" t="n"/>
      <c r="Z148" s="46" t="n"/>
    </row>
    <row r="149" ht="12.75" customHeight="1" s="162">
      <c r="A149" s="46" t="n"/>
      <c r="B149" s="46" t="n"/>
      <c r="C149" s="46" t="n"/>
      <c r="D149" s="46" t="n"/>
      <c r="E149" s="46" t="n"/>
      <c r="F149" s="46" t="n"/>
      <c r="G149" s="46" t="n"/>
      <c r="H149" s="46" t="n"/>
      <c r="I149" s="46" t="n"/>
      <c r="J149" s="46" t="n"/>
      <c r="K149" s="46" t="n"/>
      <c r="L149" s="46" t="n"/>
      <c r="M149" s="46" t="n"/>
      <c r="N149" s="46" t="n"/>
      <c r="O149" s="46" t="n"/>
      <c r="P149" s="46" t="n"/>
      <c r="Q149" s="115" t="n"/>
      <c r="R149" s="46" t="n"/>
      <c r="S149" s="46" t="n"/>
      <c r="T149" s="46" t="n"/>
      <c r="U149" s="46" t="n"/>
      <c r="V149" s="46" t="n"/>
      <c r="W149" s="46" t="n"/>
      <c r="X149" s="46" t="n"/>
      <c r="Y149" s="46" t="n"/>
      <c r="Z149" s="46" t="n"/>
    </row>
    <row r="150" ht="12.75" customHeight="1" s="162">
      <c r="A150" s="46" t="n"/>
      <c r="B150" s="46" t="n"/>
      <c r="C150" s="46" t="n"/>
      <c r="D150" s="46" t="n"/>
      <c r="E150" s="46" t="n"/>
      <c r="F150" s="46" t="n"/>
      <c r="G150" s="46" t="n"/>
      <c r="H150" s="46" t="n"/>
      <c r="I150" s="46" t="n"/>
      <c r="J150" s="46" t="n"/>
      <c r="K150" s="46" t="n"/>
      <c r="L150" s="46" t="n"/>
      <c r="M150" s="46" t="n"/>
      <c r="N150" s="46" t="n"/>
      <c r="O150" s="46" t="n"/>
      <c r="P150" s="46" t="n"/>
      <c r="Q150" s="115" t="n"/>
      <c r="R150" s="46" t="n"/>
      <c r="S150" s="46" t="n"/>
      <c r="T150" s="46" t="n"/>
      <c r="U150" s="46" t="n"/>
      <c r="V150" s="46" t="n"/>
      <c r="W150" s="46" t="n"/>
      <c r="X150" s="46" t="n"/>
      <c r="Y150" s="46" t="n"/>
      <c r="Z150" s="46" t="n"/>
    </row>
    <row r="151" ht="12.75" customHeight="1" s="162">
      <c r="A151" s="46" t="n"/>
      <c r="B151" s="46" t="n"/>
      <c r="C151" s="46" t="n"/>
      <c r="D151" s="46" t="n"/>
      <c r="E151" s="46" t="n"/>
      <c r="F151" s="46" t="n"/>
      <c r="G151" s="46" t="n"/>
      <c r="H151" s="46" t="n"/>
      <c r="I151" s="46" t="n"/>
      <c r="J151" s="46" t="n"/>
      <c r="K151" s="46" t="n"/>
      <c r="L151" s="46" t="n"/>
      <c r="M151" s="46" t="n"/>
      <c r="N151" s="46" t="n"/>
      <c r="O151" s="46" t="n"/>
      <c r="P151" s="46" t="n"/>
      <c r="Q151" s="115" t="n"/>
      <c r="R151" s="46" t="n"/>
      <c r="S151" s="46" t="n"/>
      <c r="T151" s="46" t="n"/>
      <c r="U151" s="46" t="n"/>
      <c r="V151" s="46" t="n"/>
      <c r="W151" s="46" t="n"/>
      <c r="X151" s="46" t="n"/>
      <c r="Y151" s="46" t="n"/>
      <c r="Z151" s="46" t="n"/>
    </row>
    <row r="152" ht="12.75" customHeight="1" s="162">
      <c r="A152" s="46" t="n"/>
      <c r="B152" s="46" t="n"/>
      <c r="C152" s="46" t="n"/>
      <c r="D152" s="46" t="n"/>
      <c r="E152" s="46" t="n"/>
      <c r="F152" s="46" t="n"/>
      <c r="G152" s="46" t="n"/>
      <c r="H152" s="46" t="n"/>
      <c r="I152" s="46" t="n"/>
      <c r="J152" s="46" t="n"/>
      <c r="K152" s="46" t="n"/>
      <c r="L152" s="46" t="n"/>
      <c r="M152" s="46" t="n"/>
      <c r="N152" s="46" t="n"/>
      <c r="O152" s="46" t="n"/>
      <c r="P152" s="46" t="n"/>
      <c r="Q152" s="115" t="n"/>
      <c r="R152" s="46" t="n"/>
      <c r="S152" s="46" t="n"/>
      <c r="T152" s="46" t="n"/>
      <c r="U152" s="46" t="n"/>
      <c r="V152" s="46" t="n"/>
      <c r="W152" s="46" t="n"/>
      <c r="X152" s="46" t="n"/>
      <c r="Y152" s="46" t="n"/>
      <c r="Z152" s="46" t="n"/>
    </row>
    <row r="153" ht="12.75" customHeight="1" s="162">
      <c r="A153" s="46" t="n"/>
      <c r="B153" s="46" t="n"/>
      <c r="C153" s="46" t="n"/>
      <c r="D153" s="46" t="n"/>
      <c r="E153" s="46" t="n"/>
      <c r="F153" s="46" t="n"/>
      <c r="G153" s="46" t="n"/>
      <c r="H153" s="46" t="n"/>
      <c r="I153" s="46" t="n"/>
      <c r="J153" s="46" t="n"/>
      <c r="K153" s="46" t="n"/>
      <c r="L153" s="46" t="n"/>
      <c r="M153" s="46" t="n"/>
      <c r="N153" s="46" t="n"/>
      <c r="O153" s="46" t="n"/>
      <c r="P153" s="46" t="n"/>
      <c r="Q153" s="115" t="n"/>
      <c r="R153" s="46" t="n"/>
      <c r="S153" s="46" t="n"/>
      <c r="T153" s="46" t="n"/>
      <c r="U153" s="46" t="n"/>
      <c r="V153" s="46" t="n"/>
      <c r="W153" s="46" t="n"/>
      <c r="X153" s="46" t="n"/>
      <c r="Y153" s="46" t="n"/>
      <c r="Z153" s="46" t="n"/>
    </row>
    <row r="154" ht="12.75" customHeight="1" s="162">
      <c r="A154" s="46" t="n"/>
      <c r="B154" s="46" t="n"/>
      <c r="C154" s="46" t="n"/>
      <c r="D154" s="46" t="n"/>
      <c r="E154" s="46" t="n"/>
      <c r="F154" s="46" t="n"/>
      <c r="G154" s="46" t="n"/>
      <c r="H154" s="46" t="n"/>
      <c r="I154" s="46" t="n"/>
      <c r="J154" s="46" t="n"/>
      <c r="K154" s="46" t="n"/>
      <c r="L154" s="46" t="n"/>
      <c r="M154" s="46" t="n"/>
      <c r="N154" s="46" t="n"/>
      <c r="O154" s="46" t="n"/>
      <c r="P154" s="46" t="n"/>
      <c r="Q154" s="115" t="n"/>
      <c r="R154" s="46" t="n"/>
      <c r="S154" s="46" t="n"/>
      <c r="T154" s="46" t="n"/>
      <c r="U154" s="46" t="n"/>
      <c r="V154" s="46" t="n"/>
      <c r="W154" s="46" t="n"/>
      <c r="X154" s="46" t="n"/>
      <c r="Y154" s="46" t="n"/>
      <c r="Z154" s="46" t="n"/>
    </row>
    <row r="155" ht="12.75" customHeight="1" s="162">
      <c r="A155" s="46" t="n"/>
      <c r="B155" s="46" t="n"/>
      <c r="C155" s="46" t="n"/>
      <c r="D155" s="46" t="n"/>
      <c r="E155" s="46" t="n"/>
      <c r="F155" s="46" t="n"/>
      <c r="G155" s="46" t="n"/>
      <c r="H155" s="46" t="n"/>
      <c r="I155" s="46" t="n"/>
      <c r="J155" s="46" t="n"/>
      <c r="K155" s="46" t="n"/>
      <c r="L155" s="46" t="n"/>
      <c r="M155" s="46" t="n"/>
      <c r="N155" s="46" t="n"/>
      <c r="O155" s="46" t="n"/>
      <c r="P155" s="46" t="n"/>
      <c r="Q155" s="115" t="n"/>
      <c r="R155" s="46" t="n"/>
      <c r="S155" s="46" t="n"/>
      <c r="T155" s="46" t="n"/>
      <c r="U155" s="46" t="n"/>
      <c r="V155" s="46" t="n"/>
      <c r="W155" s="46" t="n"/>
      <c r="X155" s="46" t="n"/>
      <c r="Y155" s="46" t="n"/>
      <c r="Z155" s="46" t="n"/>
    </row>
    <row r="156" ht="12.75" customHeight="1" s="162">
      <c r="A156" s="46" t="n"/>
      <c r="B156" s="46" t="n"/>
      <c r="C156" s="46" t="n"/>
      <c r="D156" s="46" t="n"/>
      <c r="E156" s="46" t="n"/>
      <c r="F156" s="46" t="n"/>
      <c r="G156" s="46" t="n"/>
      <c r="H156" s="46" t="n"/>
      <c r="I156" s="46" t="n"/>
      <c r="J156" s="46" t="n"/>
      <c r="K156" s="46" t="n"/>
      <c r="L156" s="46" t="n"/>
      <c r="M156" s="46" t="n"/>
      <c r="N156" s="46" t="n"/>
      <c r="O156" s="46" t="n"/>
      <c r="P156" s="46" t="n"/>
      <c r="Q156" s="115" t="n"/>
      <c r="R156" s="46" t="n"/>
      <c r="S156" s="46" t="n"/>
      <c r="T156" s="46" t="n"/>
      <c r="U156" s="46" t="n"/>
      <c r="V156" s="46" t="n"/>
      <c r="W156" s="46" t="n"/>
      <c r="X156" s="46" t="n"/>
      <c r="Y156" s="46" t="n"/>
      <c r="Z156" s="46" t="n"/>
    </row>
    <row r="157" ht="12.75" customHeight="1" s="162">
      <c r="A157" s="46" t="n"/>
      <c r="B157" s="46" t="n"/>
      <c r="C157" s="46" t="n"/>
      <c r="D157" s="46" t="n"/>
      <c r="E157" s="46" t="n"/>
      <c r="F157" s="46" t="n"/>
      <c r="G157" s="46" t="n"/>
      <c r="H157" s="46" t="n"/>
      <c r="I157" s="46" t="n"/>
      <c r="J157" s="46" t="n"/>
      <c r="K157" s="46" t="n"/>
      <c r="L157" s="46" t="n"/>
      <c r="M157" s="46" t="n"/>
      <c r="N157" s="46" t="n"/>
      <c r="O157" s="46" t="n"/>
      <c r="P157" s="46" t="n"/>
      <c r="Q157" s="115" t="n"/>
      <c r="R157" s="46" t="n"/>
      <c r="S157" s="46" t="n"/>
      <c r="T157" s="46" t="n"/>
      <c r="U157" s="46" t="n"/>
      <c r="V157" s="46" t="n"/>
      <c r="W157" s="46" t="n"/>
      <c r="X157" s="46" t="n"/>
      <c r="Y157" s="46" t="n"/>
      <c r="Z157" s="46" t="n"/>
    </row>
    <row r="158" ht="12.75" customHeight="1" s="162">
      <c r="A158" s="46" t="n"/>
      <c r="B158" s="46" t="n"/>
      <c r="C158" s="46" t="n"/>
      <c r="D158" s="46" t="n"/>
      <c r="E158" s="46" t="n"/>
      <c r="F158" s="46" t="n"/>
      <c r="G158" s="46" t="n"/>
      <c r="H158" s="46" t="n"/>
      <c r="I158" s="46" t="n"/>
      <c r="J158" s="46" t="n"/>
      <c r="K158" s="46" t="n"/>
      <c r="L158" s="46" t="n"/>
      <c r="M158" s="46" t="n"/>
      <c r="N158" s="46" t="n"/>
      <c r="O158" s="46" t="n"/>
      <c r="P158" s="46" t="n"/>
      <c r="Q158" s="115" t="n"/>
      <c r="R158" s="46" t="n"/>
      <c r="S158" s="46" t="n"/>
      <c r="T158" s="46" t="n"/>
      <c r="U158" s="46" t="n"/>
      <c r="V158" s="46" t="n"/>
      <c r="W158" s="46" t="n"/>
      <c r="X158" s="46" t="n"/>
      <c r="Y158" s="46" t="n"/>
      <c r="Z158" s="46" t="n"/>
    </row>
    <row r="159" ht="12.75" customHeight="1" s="162">
      <c r="A159" s="46" t="n"/>
      <c r="B159" s="46" t="n"/>
      <c r="C159" s="46" t="n"/>
      <c r="D159" s="46" t="n"/>
      <c r="E159" s="46" t="n"/>
      <c r="F159" s="46" t="n"/>
      <c r="G159" s="46" t="n"/>
      <c r="H159" s="46" t="n"/>
      <c r="I159" s="46" t="n"/>
      <c r="J159" s="46" t="n"/>
      <c r="K159" s="46" t="n"/>
      <c r="L159" s="46" t="n"/>
      <c r="M159" s="46" t="n"/>
      <c r="N159" s="46" t="n"/>
      <c r="O159" s="46" t="n"/>
      <c r="P159" s="46" t="n"/>
      <c r="Q159" s="115" t="n"/>
      <c r="R159" s="46" t="n"/>
      <c r="S159" s="46" t="n"/>
      <c r="T159" s="46" t="n"/>
      <c r="U159" s="46" t="n"/>
      <c r="V159" s="46" t="n"/>
      <c r="W159" s="46" t="n"/>
      <c r="X159" s="46" t="n"/>
      <c r="Y159" s="46" t="n"/>
      <c r="Z159" s="46" t="n"/>
    </row>
    <row r="160" ht="12.75" customHeight="1" s="162">
      <c r="A160" s="46" t="n"/>
      <c r="B160" s="46" t="n"/>
      <c r="C160" s="46" t="n"/>
      <c r="D160" s="46" t="n"/>
      <c r="E160" s="46" t="n"/>
      <c r="F160" s="46" t="n"/>
      <c r="G160" s="46" t="n"/>
      <c r="H160" s="46" t="n"/>
      <c r="I160" s="46" t="n"/>
      <c r="J160" s="46" t="n"/>
      <c r="K160" s="46" t="n"/>
      <c r="L160" s="46" t="n"/>
      <c r="M160" s="46" t="n"/>
      <c r="N160" s="46" t="n"/>
      <c r="O160" s="46" t="n"/>
      <c r="P160" s="46" t="n"/>
      <c r="Q160" s="115" t="n"/>
      <c r="R160" s="46" t="n"/>
      <c r="S160" s="46" t="n"/>
      <c r="T160" s="46" t="n"/>
      <c r="U160" s="46" t="n"/>
      <c r="V160" s="46" t="n"/>
      <c r="W160" s="46" t="n"/>
      <c r="X160" s="46" t="n"/>
      <c r="Y160" s="46" t="n"/>
      <c r="Z160" s="46" t="n"/>
    </row>
    <row r="161" ht="12.75" customHeight="1" s="162">
      <c r="A161" s="46" t="n"/>
      <c r="B161" s="46" t="n"/>
      <c r="C161" s="46" t="n"/>
      <c r="D161" s="46" t="n"/>
      <c r="E161" s="46" t="n"/>
      <c r="F161" s="46" t="n"/>
      <c r="G161" s="46" t="n"/>
      <c r="H161" s="46" t="n"/>
      <c r="I161" s="46" t="n"/>
      <c r="J161" s="46" t="n"/>
      <c r="K161" s="46" t="n"/>
      <c r="L161" s="46" t="n"/>
      <c r="M161" s="46" t="n"/>
      <c r="N161" s="46" t="n"/>
      <c r="O161" s="46" t="n"/>
      <c r="P161" s="46" t="n"/>
      <c r="Q161" s="115" t="n"/>
      <c r="R161" s="46" t="n"/>
      <c r="S161" s="46" t="n"/>
      <c r="T161" s="46" t="n"/>
      <c r="U161" s="46" t="n"/>
      <c r="V161" s="46" t="n"/>
      <c r="W161" s="46" t="n"/>
      <c r="X161" s="46" t="n"/>
      <c r="Y161" s="46" t="n"/>
      <c r="Z161" s="46" t="n"/>
    </row>
    <row r="162" ht="12.75" customHeight="1" s="162">
      <c r="A162" s="46" t="n"/>
      <c r="B162" s="46" t="n"/>
      <c r="C162" s="46" t="n"/>
      <c r="D162" s="46" t="n"/>
      <c r="E162" s="46" t="n"/>
      <c r="F162" s="46" t="n"/>
      <c r="G162" s="46" t="n"/>
      <c r="H162" s="46" t="n"/>
      <c r="I162" s="46" t="n"/>
      <c r="J162" s="46" t="n"/>
      <c r="K162" s="46" t="n"/>
      <c r="L162" s="46" t="n"/>
      <c r="M162" s="46" t="n"/>
      <c r="N162" s="46" t="n"/>
      <c r="O162" s="46" t="n"/>
      <c r="P162" s="46" t="n"/>
      <c r="Q162" s="115" t="n"/>
      <c r="R162" s="46" t="n"/>
      <c r="S162" s="46" t="n"/>
      <c r="T162" s="46" t="n"/>
      <c r="U162" s="46" t="n"/>
      <c r="V162" s="46" t="n"/>
      <c r="W162" s="46" t="n"/>
      <c r="X162" s="46" t="n"/>
      <c r="Y162" s="46" t="n"/>
      <c r="Z162" s="46" t="n"/>
    </row>
    <row r="163" ht="12.75" customHeight="1" s="162">
      <c r="A163" s="46" t="n"/>
      <c r="B163" s="46" t="n"/>
      <c r="C163" s="46" t="n"/>
      <c r="D163" s="46" t="n"/>
      <c r="E163" s="46" t="n"/>
      <c r="F163" s="46" t="n"/>
      <c r="G163" s="46" t="n"/>
      <c r="H163" s="46" t="n"/>
      <c r="I163" s="46" t="n"/>
      <c r="J163" s="46" t="n"/>
      <c r="K163" s="46" t="n"/>
      <c r="L163" s="46" t="n"/>
      <c r="M163" s="46" t="n"/>
      <c r="N163" s="46" t="n"/>
      <c r="O163" s="46" t="n"/>
      <c r="P163" s="46" t="n"/>
      <c r="Q163" s="115" t="n"/>
      <c r="R163" s="46" t="n"/>
      <c r="S163" s="46" t="n"/>
      <c r="T163" s="46" t="n"/>
      <c r="U163" s="46" t="n"/>
      <c r="V163" s="46" t="n"/>
      <c r="W163" s="46" t="n"/>
      <c r="X163" s="46" t="n"/>
      <c r="Y163" s="46" t="n"/>
      <c r="Z163" s="46" t="n"/>
    </row>
    <row r="164" ht="12.75" customHeight="1" s="162">
      <c r="A164" s="46" t="n"/>
      <c r="B164" s="46" t="n"/>
      <c r="C164" s="46" t="n"/>
      <c r="D164" s="46" t="n"/>
      <c r="E164" s="46" t="n"/>
      <c r="F164" s="46" t="n"/>
      <c r="G164" s="46" t="n"/>
      <c r="H164" s="46" t="n"/>
      <c r="I164" s="46" t="n"/>
      <c r="J164" s="46" t="n"/>
      <c r="K164" s="46" t="n"/>
      <c r="L164" s="46" t="n"/>
      <c r="M164" s="46" t="n"/>
      <c r="N164" s="46" t="n"/>
      <c r="O164" s="46" t="n"/>
      <c r="P164" s="46" t="n"/>
      <c r="Q164" s="115" t="n"/>
      <c r="R164" s="46" t="n"/>
      <c r="S164" s="46" t="n"/>
      <c r="T164" s="46" t="n"/>
      <c r="U164" s="46" t="n"/>
      <c r="V164" s="46" t="n"/>
      <c r="W164" s="46" t="n"/>
      <c r="X164" s="46" t="n"/>
      <c r="Y164" s="46" t="n"/>
      <c r="Z164" s="46" t="n"/>
    </row>
    <row r="165" ht="12.75" customHeight="1" s="162">
      <c r="A165" s="46" t="n"/>
      <c r="B165" s="46" t="n"/>
      <c r="C165" s="46" t="n"/>
      <c r="D165" s="46" t="n"/>
      <c r="E165" s="46" t="n"/>
      <c r="F165" s="46" t="n"/>
      <c r="G165" s="46" t="n"/>
      <c r="H165" s="46" t="n"/>
      <c r="I165" s="46" t="n"/>
      <c r="J165" s="46" t="n"/>
      <c r="K165" s="46" t="n"/>
      <c r="L165" s="46" t="n"/>
      <c r="M165" s="46" t="n"/>
      <c r="N165" s="46" t="n"/>
      <c r="O165" s="46" t="n"/>
      <c r="P165" s="46" t="n"/>
      <c r="Q165" s="115" t="n"/>
      <c r="R165" s="46" t="n"/>
      <c r="S165" s="46" t="n"/>
      <c r="T165" s="46" t="n"/>
      <c r="U165" s="46" t="n"/>
      <c r="V165" s="46" t="n"/>
      <c r="W165" s="46" t="n"/>
      <c r="X165" s="46" t="n"/>
      <c r="Y165" s="46" t="n"/>
      <c r="Z165" s="46" t="n"/>
    </row>
    <row r="166" ht="12.75" customHeight="1" s="162">
      <c r="A166" s="46" t="n"/>
      <c r="B166" s="46" t="n"/>
      <c r="C166" s="46" t="n"/>
      <c r="D166" s="46" t="n"/>
      <c r="E166" s="46" t="n"/>
      <c r="F166" s="46" t="n"/>
      <c r="G166" s="46" t="n"/>
      <c r="H166" s="46" t="n"/>
      <c r="I166" s="46" t="n"/>
      <c r="J166" s="46" t="n"/>
      <c r="K166" s="46" t="n"/>
      <c r="L166" s="46" t="n"/>
      <c r="M166" s="46" t="n"/>
      <c r="N166" s="46" t="n"/>
      <c r="O166" s="46" t="n"/>
      <c r="P166" s="46" t="n"/>
      <c r="Q166" s="115" t="n"/>
      <c r="R166" s="46" t="n"/>
      <c r="S166" s="46" t="n"/>
      <c r="T166" s="46" t="n"/>
      <c r="U166" s="46" t="n"/>
      <c r="V166" s="46" t="n"/>
      <c r="W166" s="46" t="n"/>
      <c r="X166" s="46" t="n"/>
      <c r="Y166" s="46" t="n"/>
      <c r="Z166" s="46" t="n"/>
    </row>
    <row r="167" ht="12.75" customHeight="1" s="162">
      <c r="A167" s="46" t="n"/>
      <c r="B167" s="46" t="n"/>
      <c r="C167" s="46" t="n"/>
      <c r="D167" s="46" t="n"/>
      <c r="E167" s="46" t="n"/>
      <c r="F167" s="46" t="n"/>
      <c r="G167" s="46" t="n"/>
      <c r="H167" s="46" t="n"/>
      <c r="I167" s="46" t="n"/>
      <c r="J167" s="46" t="n"/>
      <c r="K167" s="46" t="n"/>
      <c r="L167" s="46" t="n"/>
      <c r="M167" s="46" t="n"/>
      <c r="N167" s="46" t="n"/>
      <c r="O167" s="46" t="n"/>
      <c r="P167" s="46" t="n"/>
      <c r="Q167" s="115" t="n"/>
      <c r="R167" s="46" t="n"/>
      <c r="S167" s="46" t="n"/>
      <c r="T167" s="46" t="n"/>
      <c r="U167" s="46" t="n"/>
      <c r="V167" s="46" t="n"/>
      <c r="W167" s="46" t="n"/>
      <c r="X167" s="46" t="n"/>
      <c r="Y167" s="46" t="n"/>
      <c r="Z167" s="46" t="n"/>
    </row>
    <row r="168" ht="12.75" customHeight="1" s="162">
      <c r="A168" s="46" t="n"/>
      <c r="B168" s="46" t="n"/>
      <c r="C168" s="46" t="n"/>
      <c r="D168" s="46" t="n"/>
      <c r="E168" s="46" t="n"/>
      <c r="F168" s="46" t="n"/>
      <c r="G168" s="46" t="n"/>
      <c r="H168" s="46" t="n"/>
      <c r="I168" s="46" t="n"/>
      <c r="J168" s="46" t="n"/>
      <c r="K168" s="46" t="n"/>
      <c r="L168" s="46" t="n"/>
      <c r="M168" s="46" t="n"/>
      <c r="N168" s="46" t="n"/>
      <c r="O168" s="46" t="n"/>
      <c r="P168" s="46" t="n"/>
      <c r="Q168" s="115" t="n"/>
      <c r="R168" s="46" t="n"/>
      <c r="S168" s="46" t="n"/>
      <c r="T168" s="46" t="n"/>
      <c r="U168" s="46" t="n"/>
      <c r="V168" s="46" t="n"/>
      <c r="W168" s="46" t="n"/>
      <c r="X168" s="46" t="n"/>
      <c r="Y168" s="46" t="n"/>
      <c r="Z168" s="46" t="n"/>
    </row>
    <row r="169" ht="12.75" customHeight="1" s="162">
      <c r="A169" s="46" t="n"/>
      <c r="B169" s="46" t="n"/>
      <c r="C169" s="46" t="n"/>
      <c r="D169" s="46" t="n"/>
      <c r="E169" s="46" t="n"/>
      <c r="F169" s="46" t="n"/>
      <c r="G169" s="46" t="n"/>
      <c r="H169" s="46" t="n"/>
      <c r="I169" s="46" t="n"/>
      <c r="J169" s="46" t="n"/>
      <c r="K169" s="46" t="n"/>
      <c r="L169" s="46" t="n"/>
      <c r="M169" s="46" t="n"/>
      <c r="N169" s="46" t="n"/>
      <c r="O169" s="46" t="n"/>
      <c r="P169" s="46" t="n"/>
      <c r="Q169" s="115" t="n"/>
      <c r="R169" s="46" t="n"/>
      <c r="S169" s="46" t="n"/>
      <c r="T169" s="46" t="n"/>
      <c r="U169" s="46" t="n"/>
      <c r="V169" s="46" t="n"/>
      <c r="W169" s="46" t="n"/>
      <c r="X169" s="46" t="n"/>
      <c r="Y169" s="46" t="n"/>
      <c r="Z169" s="46" t="n"/>
    </row>
    <row r="170" ht="12.75" customHeight="1" s="162">
      <c r="A170" s="46" t="n"/>
      <c r="B170" s="46" t="n"/>
      <c r="C170" s="46" t="n"/>
      <c r="D170" s="46" t="n"/>
      <c r="E170" s="46" t="n"/>
      <c r="F170" s="46" t="n"/>
      <c r="G170" s="46" t="n"/>
      <c r="H170" s="46" t="n"/>
      <c r="I170" s="46" t="n"/>
      <c r="J170" s="46" t="n"/>
      <c r="K170" s="46" t="n"/>
      <c r="L170" s="46" t="n"/>
      <c r="M170" s="46" t="n"/>
      <c r="N170" s="46" t="n"/>
      <c r="O170" s="46" t="n"/>
      <c r="P170" s="46" t="n"/>
      <c r="Q170" s="115" t="n"/>
      <c r="R170" s="46" t="n"/>
      <c r="S170" s="46" t="n"/>
      <c r="T170" s="46" t="n"/>
      <c r="U170" s="46" t="n"/>
      <c r="V170" s="46" t="n"/>
      <c r="W170" s="46" t="n"/>
      <c r="X170" s="46" t="n"/>
      <c r="Y170" s="46" t="n"/>
      <c r="Z170" s="46" t="n"/>
    </row>
    <row r="171" ht="12.75" customHeight="1" s="162">
      <c r="A171" s="46" t="n"/>
      <c r="B171" s="46" t="n"/>
      <c r="C171" s="46" t="n"/>
      <c r="D171" s="46" t="n"/>
      <c r="E171" s="46" t="n"/>
      <c r="F171" s="46" t="n"/>
      <c r="G171" s="46" t="n"/>
      <c r="H171" s="46" t="n"/>
      <c r="I171" s="46" t="n"/>
      <c r="J171" s="46" t="n"/>
      <c r="K171" s="46" t="n"/>
      <c r="L171" s="46" t="n"/>
      <c r="M171" s="46" t="n"/>
      <c r="N171" s="46" t="n"/>
      <c r="O171" s="46" t="n"/>
      <c r="P171" s="46" t="n"/>
      <c r="Q171" s="115" t="n"/>
      <c r="R171" s="46" t="n"/>
      <c r="S171" s="46" t="n"/>
      <c r="T171" s="46" t="n"/>
      <c r="U171" s="46" t="n"/>
      <c r="V171" s="46" t="n"/>
      <c r="W171" s="46" t="n"/>
      <c r="X171" s="46" t="n"/>
      <c r="Y171" s="46" t="n"/>
      <c r="Z171" s="46" t="n"/>
    </row>
    <row r="172" ht="12.75" customHeight="1" s="162">
      <c r="A172" s="46" t="n"/>
      <c r="B172" s="46" t="n"/>
      <c r="C172" s="46" t="n"/>
      <c r="D172" s="46" t="n"/>
      <c r="E172" s="46" t="n"/>
      <c r="F172" s="46" t="n"/>
      <c r="G172" s="46" t="n"/>
      <c r="H172" s="46" t="n"/>
      <c r="I172" s="46" t="n"/>
      <c r="J172" s="46" t="n"/>
      <c r="K172" s="46" t="n"/>
      <c r="L172" s="46" t="n"/>
      <c r="M172" s="46" t="n"/>
      <c r="N172" s="46" t="n"/>
      <c r="O172" s="46" t="n"/>
      <c r="P172" s="46" t="n"/>
      <c r="Q172" s="115" t="n"/>
      <c r="R172" s="46" t="n"/>
      <c r="S172" s="46" t="n"/>
      <c r="T172" s="46" t="n"/>
      <c r="U172" s="46" t="n"/>
      <c r="V172" s="46" t="n"/>
      <c r="W172" s="46" t="n"/>
      <c r="X172" s="46" t="n"/>
      <c r="Y172" s="46" t="n"/>
      <c r="Z172" s="46" t="n"/>
    </row>
    <row r="173" ht="12.75" customHeight="1" s="162">
      <c r="A173" s="46" t="n"/>
      <c r="B173" s="46" t="n"/>
      <c r="C173" s="46" t="n"/>
      <c r="D173" s="46" t="n"/>
      <c r="E173" s="46" t="n"/>
      <c r="F173" s="46" t="n"/>
      <c r="G173" s="46" t="n"/>
      <c r="H173" s="46" t="n"/>
      <c r="I173" s="46" t="n"/>
      <c r="J173" s="46" t="n"/>
      <c r="K173" s="46" t="n"/>
      <c r="L173" s="46" t="n"/>
      <c r="M173" s="46" t="n"/>
      <c r="N173" s="46" t="n"/>
      <c r="O173" s="46" t="n"/>
      <c r="P173" s="46" t="n"/>
      <c r="Q173" s="115" t="n"/>
      <c r="R173" s="46" t="n"/>
      <c r="S173" s="46" t="n"/>
      <c r="T173" s="46" t="n"/>
      <c r="U173" s="46" t="n"/>
      <c r="V173" s="46" t="n"/>
      <c r="W173" s="46" t="n"/>
      <c r="X173" s="46" t="n"/>
      <c r="Y173" s="46" t="n"/>
      <c r="Z173" s="46" t="n"/>
    </row>
    <row r="174" ht="12.75" customHeight="1" s="162">
      <c r="A174" s="46" t="n"/>
      <c r="B174" s="46" t="n"/>
      <c r="C174" s="46" t="n"/>
      <c r="D174" s="46" t="n"/>
      <c r="E174" s="46" t="n"/>
      <c r="F174" s="46" t="n"/>
      <c r="G174" s="46" t="n"/>
      <c r="H174" s="46" t="n"/>
      <c r="I174" s="46" t="n"/>
      <c r="J174" s="46" t="n"/>
      <c r="K174" s="46" t="n"/>
      <c r="L174" s="46" t="n"/>
      <c r="M174" s="46" t="n"/>
      <c r="N174" s="46" t="n"/>
      <c r="O174" s="46" t="n"/>
      <c r="P174" s="46" t="n"/>
      <c r="Q174" s="115" t="n"/>
      <c r="R174" s="46" t="n"/>
      <c r="S174" s="46" t="n"/>
      <c r="T174" s="46" t="n"/>
      <c r="U174" s="46" t="n"/>
      <c r="V174" s="46" t="n"/>
      <c r="W174" s="46" t="n"/>
      <c r="X174" s="46" t="n"/>
      <c r="Y174" s="46" t="n"/>
      <c r="Z174" s="46" t="n"/>
    </row>
    <row r="175" ht="12.75" customHeight="1" s="162">
      <c r="A175" s="46" t="n"/>
      <c r="B175" s="46" t="n"/>
      <c r="C175" s="46" t="n"/>
      <c r="D175" s="46" t="n"/>
      <c r="E175" s="46" t="n"/>
      <c r="F175" s="46" t="n"/>
      <c r="G175" s="46" t="n"/>
      <c r="H175" s="46" t="n"/>
      <c r="I175" s="46" t="n"/>
      <c r="J175" s="46" t="n"/>
      <c r="K175" s="46" t="n"/>
      <c r="L175" s="46" t="n"/>
      <c r="M175" s="46" t="n"/>
      <c r="N175" s="46" t="n"/>
      <c r="O175" s="46" t="n"/>
      <c r="P175" s="46" t="n"/>
      <c r="Q175" s="115" t="n"/>
      <c r="R175" s="46" t="n"/>
      <c r="S175" s="46" t="n"/>
      <c r="T175" s="46" t="n"/>
      <c r="U175" s="46" t="n"/>
      <c r="V175" s="46" t="n"/>
      <c r="W175" s="46" t="n"/>
      <c r="X175" s="46" t="n"/>
      <c r="Y175" s="46" t="n"/>
      <c r="Z175" s="46" t="n"/>
    </row>
    <row r="176" ht="12.75" customHeight="1" s="162">
      <c r="A176" s="46" t="n"/>
      <c r="B176" s="46" t="n"/>
      <c r="C176" s="46" t="n"/>
      <c r="D176" s="46" t="n"/>
      <c r="E176" s="46" t="n"/>
      <c r="F176" s="46" t="n"/>
      <c r="G176" s="46" t="n"/>
      <c r="H176" s="46" t="n"/>
      <c r="I176" s="46" t="n"/>
      <c r="J176" s="46" t="n"/>
      <c r="K176" s="46" t="n"/>
      <c r="L176" s="46" t="n"/>
      <c r="M176" s="46" t="n"/>
      <c r="N176" s="46" t="n"/>
      <c r="O176" s="46" t="n"/>
      <c r="P176" s="46" t="n"/>
      <c r="Q176" s="115" t="n"/>
      <c r="R176" s="46" t="n"/>
      <c r="S176" s="46" t="n"/>
      <c r="T176" s="46" t="n"/>
      <c r="U176" s="46" t="n"/>
      <c r="V176" s="46" t="n"/>
      <c r="W176" s="46" t="n"/>
      <c r="X176" s="46" t="n"/>
      <c r="Y176" s="46" t="n"/>
      <c r="Z176" s="46" t="n"/>
    </row>
    <row r="177" ht="12.75" customHeight="1" s="162">
      <c r="A177" s="46" t="n"/>
      <c r="B177" s="46" t="n"/>
      <c r="C177" s="46" t="n"/>
      <c r="D177" s="46" t="n"/>
      <c r="E177" s="46" t="n"/>
      <c r="F177" s="46" t="n"/>
      <c r="G177" s="46" t="n"/>
      <c r="H177" s="46" t="n"/>
      <c r="I177" s="46" t="n"/>
      <c r="J177" s="46" t="n"/>
      <c r="K177" s="46" t="n"/>
      <c r="L177" s="46" t="n"/>
      <c r="M177" s="46" t="n"/>
      <c r="N177" s="46" t="n"/>
      <c r="O177" s="46" t="n"/>
      <c r="P177" s="46" t="n"/>
      <c r="Q177" s="115" t="n"/>
      <c r="R177" s="46" t="n"/>
      <c r="S177" s="46" t="n"/>
      <c r="T177" s="46" t="n"/>
      <c r="U177" s="46" t="n"/>
      <c r="V177" s="46" t="n"/>
      <c r="W177" s="46" t="n"/>
      <c r="X177" s="46" t="n"/>
      <c r="Y177" s="46" t="n"/>
      <c r="Z177" s="46" t="n"/>
    </row>
    <row r="178" ht="12.75" customHeight="1" s="162">
      <c r="A178" s="46" t="n"/>
      <c r="B178" s="46" t="n"/>
      <c r="C178" s="46" t="n"/>
      <c r="D178" s="46" t="n"/>
      <c r="E178" s="46" t="n"/>
      <c r="F178" s="46" t="n"/>
      <c r="G178" s="46" t="n"/>
      <c r="H178" s="46" t="n"/>
      <c r="I178" s="46" t="n"/>
      <c r="J178" s="46" t="n"/>
      <c r="K178" s="46" t="n"/>
      <c r="L178" s="46" t="n"/>
      <c r="M178" s="46" t="n"/>
      <c r="N178" s="46" t="n"/>
      <c r="O178" s="46" t="n"/>
      <c r="P178" s="46" t="n"/>
      <c r="Q178" s="115" t="n"/>
      <c r="R178" s="46" t="n"/>
      <c r="S178" s="46" t="n"/>
      <c r="T178" s="46" t="n"/>
      <c r="U178" s="46" t="n"/>
      <c r="V178" s="46" t="n"/>
      <c r="W178" s="46" t="n"/>
      <c r="X178" s="46" t="n"/>
      <c r="Y178" s="46" t="n"/>
      <c r="Z178" s="46" t="n"/>
    </row>
    <row r="179" ht="12.75" customHeight="1" s="162">
      <c r="A179" s="46" t="n"/>
      <c r="B179" s="46" t="n"/>
      <c r="C179" s="46" t="n"/>
      <c r="D179" s="46" t="n"/>
      <c r="E179" s="46" t="n"/>
      <c r="F179" s="46" t="n"/>
      <c r="G179" s="46" t="n"/>
      <c r="H179" s="46" t="n"/>
      <c r="I179" s="46" t="n"/>
      <c r="J179" s="46" t="n"/>
      <c r="K179" s="46" t="n"/>
      <c r="L179" s="46" t="n"/>
      <c r="M179" s="46" t="n"/>
      <c r="N179" s="46" t="n"/>
      <c r="O179" s="46" t="n"/>
      <c r="P179" s="46" t="n"/>
      <c r="Q179" s="115" t="n"/>
      <c r="R179" s="46" t="n"/>
      <c r="S179" s="46" t="n"/>
      <c r="T179" s="46" t="n"/>
      <c r="U179" s="46" t="n"/>
      <c r="V179" s="46" t="n"/>
      <c r="W179" s="46" t="n"/>
      <c r="X179" s="46" t="n"/>
      <c r="Y179" s="46" t="n"/>
      <c r="Z179" s="46" t="n"/>
    </row>
    <row r="180" ht="12.75" customHeight="1" s="162">
      <c r="A180" s="46" t="n"/>
      <c r="B180" s="46" t="n"/>
      <c r="C180" s="46" t="n"/>
      <c r="D180" s="46" t="n"/>
      <c r="E180" s="46" t="n"/>
      <c r="F180" s="46" t="n"/>
      <c r="G180" s="46" t="n"/>
      <c r="H180" s="46" t="n"/>
      <c r="I180" s="46" t="n"/>
      <c r="J180" s="46" t="n"/>
      <c r="K180" s="46" t="n"/>
      <c r="L180" s="46" t="n"/>
      <c r="M180" s="46" t="n"/>
      <c r="N180" s="46" t="n"/>
      <c r="O180" s="46" t="n"/>
      <c r="P180" s="46" t="n"/>
      <c r="Q180" s="115" t="n"/>
      <c r="R180" s="46" t="n"/>
      <c r="S180" s="46" t="n"/>
      <c r="T180" s="46" t="n"/>
      <c r="U180" s="46" t="n"/>
      <c r="V180" s="46" t="n"/>
      <c r="W180" s="46" t="n"/>
      <c r="X180" s="46" t="n"/>
      <c r="Y180" s="46" t="n"/>
      <c r="Z180" s="46" t="n"/>
    </row>
    <row r="181" ht="12.75" customHeight="1" s="162">
      <c r="A181" s="46" t="n"/>
      <c r="B181" s="46" t="n"/>
      <c r="C181" s="46" t="n"/>
      <c r="D181" s="46" t="n"/>
      <c r="E181" s="46" t="n"/>
      <c r="F181" s="46" t="n"/>
      <c r="G181" s="46" t="n"/>
      <c r="H181" s="46" t="n"/>
      <c r="I181" s="46" t="n"/>
      <c r="J181" s="46" t="n"/>
      <c r="K181" s="46" t="n"/>
      <c r="L181" s="46" t="n"/>
      <c r="M181" s="46" t="n"/>
      <c r="N181" s="46" t="n"/>
      <c r="O181" s="46" t="n"/>
      <c r="P181" s="46" t="n"/>
      <c r="Q181" s="115" t="n"/>
      <c r="R181" s="46" t="n"/>
      <c r="S181" s="46" t="n"/>
      <c r="T181" s="46" t="n"/>
      <c r="U181" s="46" t="n"/>
      <c r="V181" s="46" t="n"/>
      <c r="W181" s="46" t="n"/>
      <c r="X181" s="46" t="n"/>
      <c r="Y181" s="46" t="n"/>
      <c r="Z181" s="46" t="n"/>
    </row>
    <row r="182" ht="12.75" customHeight="1" s="162">
      <c r="A182" s="46" t="n"/>
      <c r="B182" s="46" t="n"/>
      <c r="C182" s="46" t="n"/>
      <c r="D182" s="46" t="n"/>
      <c r="E182" s="46" t="n"/>
      <c r="F182" s="46" t="n"/>
      <c r="G182" s="46" t="n"/>
      <c r="H182" s="46" t="n"/>
      <c r="I182" s="46" t="n"/>
      <c r="J182" s="46" t="n"/>
      <c r="K182" s="46" t="n"/>
      <c r="L182" s="46" t="n"/>
      <c r="M182" s="46" t="n"/>
      <c r="N182" s="46" t="n"/>
      <c r="O182" s="46" t="n"/>
      <c r="P182" s="46" t="n"/>
      <c r="Q182" s="115" t="n"/>
      <c r="R182" s="46" t="n"/>
      <c r="S182" s="46" t="n"/>
      <c r="T182" s="46" t="n"/>
      <c r="U182" s="46" t="n"/>
      <c r="V182" s="46" t="n"/>
      <c r="W182" s="46" t="n"/>
      <c r="X182" s="46" t="n"/>
      <c r="Y182" s="46" t="n"/>
      <c r="Z182" s="46" t="n"/>
    </row>
    <row r="183" ht="12.75" customHeight="1" s="162">
      <c r="A183" s="46" t="n"/>
      <c r="B183" s="46" t="n"/>
      <c r="C183" s="46" t="n"/>
      <c r="D183" s="46" t="n"/>
      <c r="E183" s="46" t="n"/>
      <c r="F183" s="46" t="n"/>
      <c r="G183" s="46" t="n"/>
      <c r="H183" s="46" t="n"/>
      <c r="I183" s="46" t="n"/>
      <c r="J183" s="46" t="n"/>
      <c r="K183" s="46" t="n"/>
      <c r="L183" s="46" t="n"/>
      <c r="M183" s="46" t="n"/>
      <c r="N183" s="46" t="n"/>
      <c r="O183" s="46" t="n"/>
      <c r="P183" s="46" t="n"/>
      <c r="Q183" s="115" t="n"/>
      <c r="R183" s="46" t="n"/>
      <c r="S183" s="46" t="n"/>
      <c r="T183" s="46" t="n"/>
      <c r="U183" s="46" t="n"/>
      <c r="V183" s="46" t="n"/>
      <c r="W183" s="46" t="n"/>
      <c r="X183" s="46" t="n"/>
      <c r="Y183" s="46" t="n"/>
      <c r="Z183" s="46" t="n"/>
    </row>
    <row r="184" ht="12.75" customHeight="1" s="162">
      <c r="A184" s="46" t="n"/>
      <c r="B184" s="46" t="n"/>
      <c r="C184" s="46" t="n"/>
      <c r="D184" s="46" t="n"/>
      <c r="E184" s="46" t="n"/>
      <c r="F184" s="46" t="n"/>
      <c r="G184" s="46" t="n"/>
      <c r="H184" s="46" t="n"/>
      <c r="I184" s="46" t="n"/>
      <c r="J184" s="46" t="n"/>
      <c r="K184" s="46" t="n"/>
      <c r="L184" s="46" t="n"/>
      <c r="M184" s="46" t="n"/>
      <c r="N184" s="46" t="n"/>
      <c r="O184" s="46" t="n"/>
      <c r="P184" s="46" t="n"/>
      <c r="Q184" s="115" t="n"/>
      <c r="R184" s="46" t="n"/>
      <c r="S184" s="46" t="n"/>
      <c r="T184" s="46" t="n"/>
      <c r="U184" s="46" t="n"/>
      <c r="V184" s="46" t="n"/>
      <c r="W184" s="46" t="n"/>
      <c r="X184" s="46" t="n"/>
      <c r="Y184" s="46" t="n"/>
      <c r="Z184" s="46" t="n"/>
    </row>
    <row r="185" ht="12.75" customHeight="1" s="162">
      <c r="A185" s="46" t="n"/>
      <c r="B185" s="46" t="n"/>
      <c r="C185" s="46" t="n"/>
      <c r="D185" s="46" t="n"/>
      <c r="E185" s="46" t="n"/>
      <c r="F185" s="46" t="n"/>
      <c r="G185" s="46" t="n"/>
      <c r="H185" s="46" t="n"/>
      <c r="I185" s="46" t="n"/>
      <c r="J185" s="46" t="n"/>
      <c r="K185" s="46" t="n"/>
      <c r="L185" s="46" t="n"/>
      <c r="M185" s="46" t="n"/>
      <c r="N185" s="46" t="n"/>
      <c r="O185" s="46" t="n"/>
      <c r="P185" s="46" t="n"/>
      <c r="Q185" s="115" t="n"/>
      <c r="R185" s="46" t="n"/>
      <c r="S185" s="46" t="n"/>
      <c r="T185" s="46" t="n"/>
      <c r="U185" s="46" t="n"/>
      <c r="V185" s="46" t="n"/>
      <c r="W185" s="46" t="n"/>
      <c r="X185" s="46" t="n"/>
      <c r="Y185" s="46" t="n"/>
      <c r="Z185" s="46" t="n"/>
    </row>
    <row r="186" ht="12.75" customHeight="1" s="162">
      <c r="A186" s="46" t="n"/>
      <c r="B186" s="46" t="n"/>
      <c r="C186" s="46" t="n"/>
      <c r="D186" s="46" t="n"/>
      <c r="E186" s="46" t="n"/>
      <c r="F186" s="46" t="n"/>
      <c r="G186" s="46" t="n"/>
      <c r="H186" s="46" t="n"/>
      <c r="I186" s="46" t="n"/>
      <c r="J186" s="46" t="n"/>
      <c r="K186" s="46" t="n"/>
      <c r="L186" s="46" t="n"/>
      <c r="M186" s="46" t="n"/>
      <c r="N186" s="46" t="n"/>
      <c r="O186" s="46" t="n"/>
      <c r="P186" s="46" t="n"/>
      <c r="Q186" s="115" t="n"/>
      <c r="R186" s="46" t="n"/>
      <c r="S186" s="46" t="n"/>
      <c r="T186" s="46" t="n"/>
      <c r="U186" s="46" t="n"/>
      <c r="V186" s="46" t="n"/>
      <c r="W186" s="46" t="n"/>
      <c r="X186" s="46" t="n"/>
      <c r="Y186" s="46" t="n"/>
      <c r="Z186" s="46" t="n"/>
    </row>
    <row r="187" ht="12.75" customHeight="1" s="162">
      <c r="A187" s="46" t="n"/>
      <c r="B187" s="46" t="n"/>
      <c r="C187" s="46" t="n"/>
      <c r="D187" s="46" t="n"/>
      <c r="E187" s="46" t="n"/>
      <c r="F187" s="46" t="n"/>
      <c r="G187" s="46" t="n"/>
      <c r="H187" s="46" t="n"/>
      <c r="I187" s="46" t="n"/>
      <c r="J187" s="46" t="n"/>
      <c r="K187" s="46" t="n"/>
      <c r="L187" s="46" t="n"/>
      <c r="M187" s="46" t="n"/>
      <c r="N187" s="46" t="n"/>
      <c r="O187" s="46" t="n"/>
      <c r="P187" s="46" t="n"/>
      <c r="Q187" s="115" t="n"/>
      <c r="R187" s="46" t="n"/>
      <c r="S187" s="46" t="n"/>
      <c r="T187" s="46" t="n"/>
      <c r="U187" s="46" t="n"/>
      <c r="V187" s="46" t="n"/>
      <c r="W187" s="46" t="n"/>
      <c r="X187" s="46" t="n"/>
      <c r="Y187" s="46" t="n"/>
      <c r="Z187" s="46" t="n"/>
    </row>
    <row r="188" ht="12.75" customHeight="1" s="162">
      <c r="A188" s="46" t="n"/>
      <c r="B188" s="46" t="n"/>
      <c r="C188" s="46" t="n"/>
      <c r="D188" s="46" t="n"/>
      <c r="E188" s="46" t="n"/>
      <c r="F188" s="46" t="n"/>
      <c r="G188" s="46" t="n"/>
      <c r="H188" s="46" t="n"/>
      <c r="I188" s="46" t="n"/>
      <c r="J188" s="46" t="n"/>
      <c r="K188" s="46" t="n"/>
      <c r="L188" s="46" t="n"/>
      <c r="M188" s="46" t="n"/>
      <c r="N188" s="46" t="n"/>
      <c r="O188" s="46" t="n"/>
      <c r="P188" s="46" t="n"/>
      <c r="Q188" s="115" t="n"/>
      <c r="R188" s="46" t="n"/>
      <c r="S188" s="46" t="n"/>
      <c r="T188" s="46" t="n"/>
      <c r="U188" s="46" t="n"/>
      <c r="V188" s="46" t="n"/>
      <c r="W188" s="46" t="n"/>
      <c r="X188" s="46" t="n"/>
      <c r="Y188" s="46" t="n"/>
      <c r="Z188" s="46" t="n"/>
    </row>
    <row r="189" ht="12.75" customHeight="1" s="162">
      <c r="A189" s="46" t="n"/>
      <c r="B189" s="46" t="n"/>
      <c r="C189" s="46" t="n"/>
      <c r="D189" s="46" t="n"/>
      <c r="E189" s="46" t="n"/>
      <c r="F189" s="46" t="n"/>
      <c r="G189" s="46" t="n"/>
      <c r="H189" s="46" t="n"/>
      <c r="I189" s="46" t="n"/>
      <c r="J189" s="46" t="n"/>
      <c r="K189" s="46" t="n"/>
      <c r="L189" s="46" t="n"/>
      <c r="M189" s="46" t="n"/>
      <c r="N189" s="46" t="n"/>
      <c r="O189" s="46" t="n"/>
      <c r="P189" s="46" t="n"/>
      <c r="Q189" s="115" t="n"/>
      <c r="R189" s="46" t="n"/>
      <c r="S189" s="46" t="n"/>
      <c r="T189" s="46" t="n"/>
      <c r="U189" s="46" t="n"/>
      <c r="V189" s="46" t="n"/>
      <c r="W189" s="46" t="n"/>
      <c r="X189" s="46" t="n"/>
      <c r="Y189" s="46" t="n"/>
      <c r="Z189" s="46" t="n"/>
    </row>
    <row r="190" ht="12.75" customHeight="1" s="162">
      <c r="A190" s="46" t="n"/>
      <c r="B190" s="46" t="n"/>
      <c r="C190" s="46" t="n"/>
      <c r="D190" s="46" t="n"/>
      <c r="E190" s="46" t="n"/>
      <c r="F190" s="46" t="n"/>
      <c r="G190" s="46" t="n"/>
      <c r="H190" s="46" t="n"/>
      <c r="I190" s="46" t="n"/>
      <c r="J190" s="46" t="n"/>
      <c r="K190" s="46" t="n"/>
      <c r="L190" s="46" t="n"/>
      <c r="M190" s="46" t="n"/>
      <c r="N190" s="46" t="n"/>
      <c r="O190" s="46" t="n"/>
      <c r="P190" s="46" t="n"/>
      <c r="Q190" s="115" t="n"/>
      <c r="R190" s="46" t="n"/>
      <c r="S190" s="46" t="n"/>
      <c r="T190" s="46" t="n"/>
      <c r="U190" s="46" t="n"/>
      <c r="V190" s="46" t="n"/>
      <c r="W190" s="46" t="n"/>
      <c r="X190" s="46" t="n"/>
      <c r="Y190" s="46" t="n"/>
      <c r="Z190" s="46" t="n"/>
    </row>
    <row r="191" ht="12.75" customHeight="1" s="162">
      <c r="A191" s="46" t="n"/>
      <c r="B191" s="46" t="n"/>
      <c r="C191" s="46" t="n"/>
      <c r="D191" s="46" t="n"/>
      <c r="E191" s="46" t="n"/>
      <c r="F191" s="46" t="n"/>
      <c r="G191" s="46" t="n"/>
      <c r="H191" s="46" t="n"/>
      <c r="I191" s="46" t="n"/>
      <c r="J191" s="46" t="n"/>
      <c r="K191" s="46" t="n"/>
      <c r="L191" s="46" t="n"/>
      <c r="M191" s="46" t="n"/>
      <c r="N191" s="46" t="n"/>
      <c r="O191" s="46" t="n"/>
      <c r="P191" s="46" t="n"/>
      <c r="Q191" s="115" t="n"/>
      <c r="R191" s="46" t="n"/>
      <c r="S191" s="46" t="n"/>
      <c r="T191" s="46" t="n"/>
      <c r="U191" s="46" t="n"/>
      <c r="V191" s="46" t="n"/>
      <c r="W191" s="46" t="n"/>
      <c r="X191" s="46" t="n"/>
      <c r="Y191" s="46" t="n"/>
      <c r="Z191" s="46" t="n"/>
    </row>
    <row r="192" ht="12.75" customHeight="1" s="162">
      <c r="A192" s="46" t="n"/>
      <c r="B192" s="46" t="n"/>
      <c r="C192" s="46" t="n"/>
      <c r="D192" s="46" t="n"/>
      <c r="E192" s="46" t="n"/>
      <c r="F192" s="46" t="n"/>
      <c r="G192" s="46" t="n"/>
      <c r="H192" s="46" t="n"/>
      <c r="I192" s="46" t="n"/>
      <c r="J192" s="46" t="n"/>
      <c r="K192" s="46" t="n"/>
      <c r="L192" s="46" t="n"/>
      <c r="M192" s="46" t="n"/>
      <c r="N192" s="46" t="n"/>
      <c r="O192" s="46" t="n"/>
      <c r="P192" s="46" t="n"/>
      <c r="Q192" s="115" t="n"/>
      <c r="R192" s="46" t="n"/>
      <c r="S192" s="46" t="n"/>
      <c r="T192" s="46" t="n"/>
      <c r="U192" s="46" t="n"/>
      <c r="V192" s="46" t="n"/>
      <c r="W192" s="46" t="n"/>
      <c r="X192" s="46" t="n"/>
      <c r="Y192" s="46" t="n"/>
      <c r="Z192" s="46" t="n"/>
    </row>
    <row r="193" ht="12.75" customHeight="1" s="162">
      <c r="A193" s="46" t="n"/>
      <c r="B193" s="46" t="n"/>
      <c r="C193" s="46" t="n"/>
      <c r="D193" s="46" t="n"/>
      <c r="E193" s="46" t="n"/>
      <c r="F193" s="46" t="n"/>
      <c r="G193" s="46" t="n"/>
      <c r="H193" s="46" t="n"/>
      <c r="I193" s="46" t="n"/>
      <c r="J193" s="46" t="n"/>
      <c r="K193" s="46" t="n"/>
      <c r="L193" s="46" t="n"/>
      <c r="M193" s="46" t="n"/>
      <c r="N193" s="46" t="n"/>
      <c r="O193" s="46" t="n"/>
      <c r="P193" s="46" t="n"/>
      <c r="Q193" s="115" t="n"/>
      <c r="R193" s="46" t="n"/>
      <c r="S193" s="46" t="n"/>
      <c r="T193" s="46" t="n"/>
      <c r="U193" s="46" t="n"/>
      <c r="V193" s="46" t="n"/>
      <c r="W193" s="46" t="n"/>
      <c r="X193" s="46" t="n"/>
      <c r="Y193" s="46" t="n"/>
      <c r="Z193" s="46" t="n"/>
    </row>
    <row r="194" ht="12.75" customHeight="1" s="162">
      <c r="A194" s="46" t="n"/>
      <c r="B194" s="46" t="n"/>
      <c r="C194" s="46" t="n"/>
      <c r="D194" s="46" t="n"/>
      <c r="E194" s="46" t="n"/>
      <c r="F194" s="46" t="n"/>
      <c r="G194" s="46" t="n"/>
      <c r="H194" s="46" t="n"/>
      <c r="I194" s="46" t="n"/>
      <c r="J194" s="46" t="n"/>
      <c r="K194" s="46" t="n"/>
      <c r="L194" s="46" t="n"/>
      <c r="M194" s="46" t="n"/>
      <c r="N194" s="46" t="n"/>
      <c r="O194" s="46" t="n"/>
      <c r="P194" s="46" t="n"/>
      <c r="Q194" s="115" t="n"/>
      <c r="R194" s="46" t="n"/>
      <c r="S194" s="46" t="n"/>
      <c r="T194" s="46" t="n"/>
      <c r="U194" s="46" t="n"/>
      <c r="V194" s="46" t="n"/>
      <c r="W194" s="46" t="n"/>
      <c r="X194" s="46" t="n"/>
      <c r="Y194" s="46" t="n"/>
      <c r="Z194" s="46" t="n"/>
    </row>
    <row r="195" ht="12.75" customHeight="1" s="162">
      <c r="A195" s="46" t="n"/>
      <c r="B195" s="46" t="n"/>
      <c r="C195" s="46" t="n"/>
      <c r="D195" s="46" t="n"/>
      <c r="E195" s="46" t="n"/>
      <c r="F195" s="46" t="n"/>
      <c r="G195" s="46" t="n"/>
      <c r="H195" s="46" t="n"/>
      <c r="I195" s="46" t="n"/>
      <c r="J195" s="46" t="n"/>
      <c r="K195" s="46" t="n"/>
      <c r="L195" s="46" t="n"/>
      <c r="M195" s="46" t="n"/>
      <c r="N195" s="46" t="n"/>
      <c r="O195" s="46" t="n"/>
      <c r="P195" s="46" t="n"/>
      <c r="Q195" s="115" t="n"/>
      <c r="R195" s="46" t="n"/>
      <c r="S195" s="46" t="n"/>
      <c r="T195" s="46" t="n"/>
      <c r="U195" s="46" t="n"/>
      <c r="V195" s="46" t="n"/>
      <c r="W195" s="46" t="n"/>
      <c r="X195" s="46" t="n"/>
      <c r="Y195" s="46" t="n"/>
      <c r="Z195" s="46" t="n"/>
    </row>
    <row r="196" ht="12.75" customHeight="1" s="162">
      <c r="A196" s="46" t="n"/>
      <c r="B196" s="46" t="n"/>
      <c r="C196" s="46" t="n"/>
      <c r="D196" s="46" t="n"/>
      <c r="E196" s="46" t="n"/>
      <c r="F196" s="46" t="n"/>
      <c r="G196" s="46" t="n"/>
      <c r="H196" s="46" t="n"/>
      <c r="I196" s="46" t="n"/>
      <c r="J196" s="46" t="n"/>
      <c r="K196" s="46" t="n"/>
      <c r="L196" s="46" t="n"/>
      <c r="M196" s="46" t="n"/>
      <c r="N196" s="46" t="n"/>
      <c r="O196" s="46" t="n"/>
      <c r="P196" s="46" t="n"/>
      <c r="Q196" s="115" t="n"/>
      <c r="R196" s="46" t="n"/>
      <c r="S196" s="46" t="n"/>
      <c r="T196" s="46" t="n"/>
      <c r="U196" s="46" t="n"/>
      <c r="V196" s="46" t="n"/>
      <c r="W196" s="46" t="n"/>
      <c r="X196" s="46" t="n"/>
      <c r="Y196" s="46" t="n"/>
      <c r="Z196" s="46" t="n"/>
    </row>
    <row r="197" ht="12.75" customHeight="1" s="162">
      <c r="A197" s="46" t="n"/>
      <c r="B197" s="46" t="n"/>
      <c r="C197" s="46" t="n"/>
      <c r="D197" s="46" t="n"/>
      <c r="E197" s="46" t="n"/>
      <c r="F197" s="46" t="n"/>
      <c r="G197" s="46" t="n"/>
      <c r="H197" s="46" t="n"/>
      <c r="I197" s="46" t="n"/>
      <c r="J197" s="46" t="n"/>
      <c r="K197" s="46" t="n"/>
      <c r="L197" s="46" t="n"/>
      <c r="M197" s="46" t="n"/>
      <c r="N197" s="46" t="n"/>
      <c r="O197" s="46" t="n"/>
      <c r="P197" s="46" t="n"/>
      <c r="Q197" s="115" t="n"/>
      <c r="R197" s="46" t="n"/>
      <c r="S197" s="46" t="n"/>
      <c r="T197" s="46" t="n"/>
      <c r="U197" s="46" t="n"/>
      <c r="V197" s="46" t="n"/>
      <c r="W197" s="46" t="n"/>
      <c r="X197" s="46" t="n"/>
      <c r="Y197" s="46" t="n"/>
      <c r="Z197" s="46" t="n"/>
    </row>
    <row r="198" ht="12.75" customHeight="1" s="162">
      <c r="A198" s="46" t="n"/>
      <c r="B198" s="46" t="n"/>
      <c r="C198" s="46" t="n"/>
      <c r="D198" s="46" t="n"/>
      <c r="E198" s="46" t="n"/>
      <c r="F198" s="46" t="n"/>
      <c r="G198" s="46" t="n"/>
      <c r="H198" s="46" t="n"/>
      <c r="I198" s="46" t="n"/>
      <c r="J198" s="46" t="n"/>
      <c r="K198" s="46" t="n"/>
      <c r="L198" s="46" t="n"/>
      <c r="M198" s="46" t="n"/>
      <c r="N198" s="46" t="n"/>
      <c r="O198" s="46" t="n"/>
      <c r="P198" s="46" t="n"/>
      <c r="Q198" s="115" t="n"/>
      <c r="R198" s="46" t="n"/>
      <c r="S198" s="46" t="n"/>
      <c r="T198" s="46" t="n"/>
      <c r="U198" s="46" t="n"/>
      <c r="V198" s="46" t="n"/>
      <c r="W198" s="46" t="n"/>
      <c r="X198" s="46" t="n"/>
      <c r="Y198" s="46" t="n"/>
      <c r="Z198" s="46" t="n"/>
    </row>
    <row r="199" ht="12.75" customHeight="1" s="162">
      <c r="A199" s="46" t="n"/>
      <c r="B199" s="46" t="n"/>
      <c r="C199" s="46" t="n"/>
      <c r="D199" s="46" t="n"/>
      <c r="E199" s="46" t="n"/>
      <c r="F199" s="46" t="n"/>
      <c r="G199" s="46" t="n"/>
      <c r="H199" s="46" t="n"/>
      <c r="I199" s="46" t="n"/>
      <c r="J199" s="46" t="n"/>
      <c r="K199" s="46" t="n"/>
      <c r="L199" s="46" t="n"/>
      <c r="M199" s="46" t="n"/>
      <c r="N199" s="46" t="n"/>
      <c r="O199" s="46" t="n"/>
      <c r="P199" s="46" t="n"/>
      <c r="Q199" s="115" t="n"/>
      <c r="R199" s="46" t="n"/>
      <c r="S199" s="46" t="n"/>
      <c r="T199" s="46" t="n"/>
      <c r="U199" s="46" t="n"/>
      <c r="V199" s="46" t="n"/>
      <c r="W199" s="46" t="n"/>
      <c r="X199" s="46" t="n"/>
      <c r="Y199" s="46" t="n"/>
      <c r="Z199" s="46" t="n"/>
    </row>
    <row r="200" ht="12.75" customHeight="1" s="162">
      <c r="A200" s="46" t="n"/>
      <c r="B200" s="46" t="n"/>
      <c r="C200" s="46" t="n"/>
      <c r="D200" s="46" t="n"/>
      <c r="E200" s="46" t="n"/>
      <c r="F200" s="46" t="n"/>
      <c r="G200" s="46" t="n"/>
      <c r="H200" s="46" t="n"/>
      <c r="I200" s="46" t="n"/>
      <c r="J200" s="46" t="n"/>
      <c r="K200" s="46" t="n"/>
      <c r="L200" s="46" t="n"/>
      <c r="M200" s="46" t="n"/>
      <c r="N200" s="46" t="n"/>
      <c r="O200" s="46" t="n"/>
      <c r="P200" s="46" t="n"/>
      <c r="Q200" s="115" t="n"/>
      <c r="R200" s="46" t="n"/>
      <c r="S200" s="46" t="n"/>
      <c r="T200" s="46" t="n"/>
      <c r="U200" s="46" t="n"/>
      <c r="V200" s="46" t="n"/>
      <c r="W200" s="46" t="n"/>
      <c r="X200" s="46" t="n"/>
      <c r="Y200" s="46" t="n"/>
      <c r="Z200" s="46" t="n"/>
    </row>
    <row r="201" ht="12.75" customHeight="1" s="162">
      <c r="A201" s="46" t="n"/>
      <c r="B201" s="46" t="n"/>
      <c r="C201" s="46" t="n"/>
      <c r="D201" s="46" t="n"/>
      <c r="E201" s="46" t="n"/>
      <c r="F201" s="46" t="n"/>
      <c r="G201" s="46" t="n"/>
      <c r="H201" s="46" t="n"/>
      <c r="I201" s="46" t="n"/>
      <c r="J201" s="46" t="n"/>
      <c r="K201" s="46" t="n"/>
      <c r="L201" s="46" t="n"/>
      <c r="M201" s="46" t="n"/>
      <c r="N201" s="46" t="n"/>
      <c r="O201" s="46" t="n"/>
      <c r="P201" s="46" t="n"/>
      <c r="Q201" s="115" t="n"/>
      <c r="R201" s="46" t="n"/>
      <c r="S201" s="46" t="n"/>
      <c r="T201" s="46" t="n"/>
      <c r="U201" s="46" t="n"/>
      <c r="V201" s="46" t="n"/>
      <c r="W201" s="46" t="n"/>
      <c r="X201" s="46" t="n"/>
      <c r="Y201" s="46" t="n"/>
      <c r="Z201" s="46" t="n"/>
    </row>
    <row r="202" ht="12.75" customHeight="1" s="162">
      <c r="A202" s="46" t="n"/>
      <c r="B202" s="46" t="n"/>
      <c r="C202" s="46" t="n"/>
      <c r="D202" s="46" t="n"/>
      <c r="E202" s="46" t="n"/>
      <c r="F202" s="46" t="n"/>
      <c r="G202" s="46" t="n"/>
      <c r="H202" s="46" t="n"/>
      <c r="I202" s="46" t="n"/>
      <c r="J202" s="46" t="n"/>
      <c r="K202" s="46" t="n"/>
      <c r="L202" s="46" t="n"/>
      <c r="M202" s="46" t="n"/>
      <c r="N202" s="46" t="n"/>
      <c r="O202" s="46" t="n"/>
      <c r="P202" s="46" t="n"/>
      <c r="Q202" s="115" t="n"/>
      <c r="R202" s="46" t="n"/>
      <c r="S202" s="46" t="n"/>
      <c r="T202" s="46" t="n"/>
      <c r="U202" s="46" t="n"/>
      <c r="V202" s="46" t="n"/>
      <c r="W202" s="46" t="n"/>
      <c r="X202" s="46" t="n"/>
      <c r="Y202" s="46" t="n"/>
      <c r="Z202" s="46" t="n"/>
    </row>
    <row r="203" ht="12.75" customHeight="1" s="162">
      <c r="A203" s="46" t="n"/>
      <c r="B203" s="46" t="n"/>
      <c r="C203" s="46" t="n"/>
      <c r="D203" s="46" t="n"/>
      <c r="E203" s="46" t="n"/>
      <c r="F203" s="46" t="n"/>
      <c r="G203" s="46" t="n"/>
      <c r="H203" s="46" t="n"/>
      <c r="I203" s="46" t="n"/>
      <c r="J203" s="46" t="n"/>
      <c r="K203" s="46" t="n"/>
      <c r="L203" s="46" t="n"/>
      <c r="M203" s="46" t="n"/>
      <c r="N203" s="46" t="n"/>
      <c r="O203" s="46" t="n"/>
      <c r="P203" s="46" t="n"/>
      <c r="Q203" s="115" t="n"/>
      <c r="R203" s="46" t="n"/>
      <c r="S203" s="46" t="n"/>
      <c r="T203" s="46" t="n"/>
      <c r="U203" s="46" t="n"/>
      <c r="V203" s="46" t="n"/>
      <c r="W203" s="46" t="n"/>
      <c r="X203" s="46" t="n"/>
      <c r="Y203" s="46" t="n"/>
      <c r="Z203" s="46" t="n"/>
    </row>
    <row r="204" ht="12.75" customHeight="1" s="162">
      <c r="A204" s="46" t="n"/>
      <c r="B204" s="46" t="n"/>
      <c r="C204" s="46" t="n"/>
      <c r="D204" s="46" t="n"/>
      <c r="E204" s="46" t="n"/>
      <c r="F204" s="46" t="n"/>
      <c r="G204" s="46" t="n"/>
      <c r="H204" s="46" t="n"/>
      <c r="I204" s="46" t="n"/>
      <c r="J204" s="46" t="n"/>
      <c r="K204" s="46" t="n"/>
      <c r="L204" s="46" t="n"/>
      <c r="M204" s="46" t="n"/>
      <c r="N204" s="46" t="n"/>
      <c r="O204" s="46" t="n"/>
      <c r="P204" s="46" t="n"/>
      <c r="Q204" s="115" t="n"/>
      <c r="R204" s="46" t="n"/>
      <c r="S204" s="46" t="n"/>
      <c r="T204" s="46" t="n"/>
      <c r="U204" s="46" t="n"/>
      <c r="V204" s="46" t="n"/>
      <c r="W204" s="46" t="n"/>
      <c r="X204" s="46" t="n"/>
      <c r="Y204" s="46" t="n"/>
      <c r="Z204" s="46" t="n"/>
    </row>
    <row r="205" ht="12.75" customHeight="1" s="162">
      <c r="A205" s="46" t="n"/>
      <c r="B205" s="46" t="n"/>
      <c r="C205" s="46" t="n"/>
      <c r="D205" s="46" t="n"/>
      <c r="E205" s="46" t="n"/>
      <c r="F205" s="46" t="n"/>
      <c r="G205" s="46" t="n"/>
      <c r="H205" s="46" t="n"/>
      <c r="I205" s="46" t="n"/>
      <c r="J205" s="46" t="n"/>
      <c r="K205" s="46" t="n"/>
      <c r="L205" s="46" t="n"/>
      <c r="M205" s="46" t="n"/>
      <c r="N205" s="46" t="n"/>
      <c r="O205" s="46" t="n"/>
      <c r="P205" s="46" t="n"/>
      <c r="Q205" s="115" t="n"/>
      <c r="R205" s="46" t="n"/>
      <c r="S205" s="46" t="n"/>
      <c r="T205" s="46" t="n"/>
      <c r="U205" s="46" t="n"/>
      <c r="V205" s="46" t="n"/>
      <c r="W205" s="46" t="n"/>
      <c r="X205" s="46" t="n"/>
      <c r="Y205" s="46" t="n"/>
      <c r="Z205" s="46" t="n"/>
    </row>
    <row r="206" ht="12.75" customHeight="1" s="162">
      <c r="A206" s="46" t="n"/>
      <c r="B206" s="46" t="n"/>
      <c r="C206" s="46" t="n"/>
      <c r="D206" s="46" t="n"/>
      <c r="E206" s="46" t="n"/>
      <c r="F206" s="46" t="n"/>
      <c r="G206" s="46" t="n"/>
      <c r="H206" s="46" t="n"/>
      <c r="I206" s="46" t="n"/>
      <c r="J206" s="46" t="n"/>
      <c r="K206" s="46" t="n"/>
      <c r="L206" s="46" t="n"/>
      <c r="M206" s="46" t="n"/>
      <c r="N206" s="46" t="n"/>
      <c r="O206" s="46" t="n"/>
      <c r="P206" s="46" t="n"/>
      <c r="Q206" s="115" t="n"/>
      <c r="R206" s="46" t="n"/>
      <c r="S206" s="46" t="n"/>
      <c r="T206" s="46" t="n"/>
      <c r="U206" s="46" t="n"/>
      <c r="V206" s="46" t="n"/>
      <c r="W206" s="46" t="n"/>
      <c r="X206" s="46" t="n"/>
      <c r="Y206" s="46" t="n"/>
      <c r="Z206" s="46" t="n"/>
    </row>
    <row r="207" ht="12.75" customHeight="1" s="162">
      <c r="A207" s="46" t="n"/>
      <c r="B207" s="46" t="n"/>
      <c r="C207" s="46" t="n"/>
      <c r="D207" s="46" t="n"/>
      <c r="E207" s="46" t="n"/>
      <c r="F207" s="46" t="n"/>
      <c r="G207" s="46" t="n"/>
      <c r="H207" s="46" t="n"/>
      <c r="I207" s="46" t="n"/>
      <c r="J207" s="46" t="n"/>
      <c r="K207" s="46" t="n"/>
      <c r="L207" s="46" t="n"/>
      <c r="M207" s="46" t="n"/>
      <c r="N207" s="46" t="n"/>
      <c r="O207" s="46" t="n"/>
      <c r="P207" s="46" t="n"/>
      <c r="Q207" s="115" t="n"/>
      <c r="R207" s="46" t="n"/>
      <c r="S207" s="46" t="n"/>
      <c r="T207" s="46" t="n"/>
      <c r="U207" s="46" t="n"/>
      <c r="V207" s="46" t="n"/>
      <c r="W207" s="46" t="n"/>
      <c r="X207" s="46" t="n"/>
      <c r="Y207" s="46" t="n"/>
      <c r="Z207" s="46" t="n"/>
    </row>
    <row r="208" ht="12.75" customHeight="1" s="162">
      <c r="A208" s="46" t="n"/>
      <c r="B208" s="46" t="n"/>
      <c r="C208" s="46" t="n"/>
      <c r="D208" s="46" t="n"/>
      <c r="E208" s="46" t="n"/>
      <c r="F208" s="46" t="n"/>
      <c r="G208" s="46" t="n"/>
      <c r="H208" s="46" t="n"/>
      <c r="I208" s="46" t="n"/>
      <c r="J208" s="46" t="n"/>
      <c r="K208" s="46" t="n"/>
      <c r="L208" s="46" t="n"/>
      <c r="M208" s="46" t="n"/>
      <c r="N208" s="46" t="n"/>
      <c r="O208" s="46" t="n"/>
      <c r="P208" s="46" t="n"/>
      <c r="Q208" s="115" t="n"/>
      <c r="R208" s="46" t="n"/>
      <c r="S208" s="46" t="n"/>
      <c r="T208" s="46" t="n"/>
      <c r="U208" s="46" t="n"/>
      <c r="V208" s="46" t="n"/>
      <c r="W208" s="46" t="n"/>
      <c r="X208" s="46" t="n"/>
      <c r="Y208" s="46" t="n"/>
      <c r="Z208" s="46" t="n"/>
    </row>
    <row r="209" ht="12.75" customHeight="1" s="162">
      <c r="A209" s="46" t="n"/>
      <c r="B209" s="46" t="n"/>
      <c r="C209" s="46" t="n"/>
      <c r="D209" s="46" t="n"/>
      <c r="E209" s="46" t="n"/>
      <c r="F209" s="46" t="n"/>
      <c r="G209" s="46" t="n"/>
      <c r="H209" s="46" t="n"/>
      <c r="I209" s="46" t="n"/>
      <c r="J209" s="46" t="n"/>
      <c r="K209" s="46" t="n"/>
      <c r="L209" s="46" t="n"/>
      <c r="M209" s="46" t="n"/>
      <c r="N209" s="46" t="n"/>
      <c r="O209" s="46" t="n"/>
      <c r="P209" s="46" t="n"/>
      <c r="Q209" s="115" t="n"/>
      <c r="R209" s="46" t="n"/>
      <c r="S209" s="46" t="n"/>
      <c r="T209" s="46" t="n"/>
      <c r="U209" s="46" t="n"/>
      <c r="V209" s="46" t="n"/>
      <c r="W209" s="46" t="n"/>
      <c r="X209" s="46" t="n"/>
      <c r="Y209" s="46" t="n"/>
      <c r="Z209" s="46" t="n"/>
    </row>
    <row r="210" ht="12.75" customHeight="1" s="162">
      <c r="A210" s="46" t="n"/>
      <c r="B210" s="46" t="n"/>
      <c r="C210" s="46" t="n"/>
      <c r="D210" s="46" t="n"/>
      <c r="E210" s="46" t="n"/>
      <c r="F210" s="46" t="n"/>
      <c r="G210" s="46" t="n"/>
      <c r="H210" s="46" t="n"/>
      <c r="I210" s="46" t="n"/>
      <c r="J210" s="46" t="n"/>
      <c r="K210" s="46" t="n"/>
      <c r="L210" s="46" t="n"/>
      <c r="M210" s="46" t="n"/>
      <c r="N210" s="46" t="n"/>
      <c r="O210" s="46" t="n"/>
      <c r="P210" s="46" t="n"/>
      <c r="Q210" s="115" t="n"/>
      <c r="R210" s="46" t="n"/>
      <c r="S210" s="46" t="n"/>
      <c r="T210" s="46" t="n"/>
      <c r="U210" s="46" t="n"/>
      <c r="V210" s="46" t="n"/>
      <c r="W210" s="46" t="n"/>
      <c r="X210" s="46" t="n"/>
      <c r="Y210" s="46" t="n"/>
      <c r="Z210" s="46" t="n"/>
    </row>
    <row r="211" ht="12.75" customHeight="1" s="162">
      <c r="A211" s="46" t="n"/>
      <c r="B211" s="46" t="n"/>
      <c r="C211" s="46" t="n"/>
      <c r="D211" s="46" t="n"/>
      <c r="E211" s="46" t="n"/>
      <c r="F211" s="46" t="n"/>
      <c r="G211" s="46" t="n"/>
      <c r="H211" s="46" t="n"/>
      <c r="I211" s="46" t="n"/>
      <c r="J211" s="46" t="n"/>
      <c r="K211" s="46" t="n"/>
      <c r="L211" s="46" t="n"/>
      <c r="M211" s="46" t="n"/>
      <c r="N211" s="46" t="n"/>
      <c r="O211" s="46" t="n"/>
      <c r="P211" s="46" t="n"/>
      <c r="Q211" s="115" t="n"/>
      <c r="R211" s="46" t="n"/>
      <c r="S211" s="46" t="n"/>
      <c r="T211" s="46" t="n"/>
      <c r="U211" s="46" t="n"/>
      <c r="V211" s="46" t="n"/>
      <c r="W211" s="46" t="n"/>
      <c r="X211" s="46" t="n"/>
      <c r="Y211" s="46" t="n"/>
      <c r="Z211" s="46" t="n"/>
    </row>
    <row r="212" ht="12.75" customHeight="1" s="162">
      <c r="A212" s="46" t="n"/>
      <c r="B212" s="46" t="n"/>
      <c r="C212" s="46" t="n"/>
      <c r="D212" s="46" t="n"/>
      <c r="E212" s="46" t="n"/>
      <c r="F212" s="46" t="n"/>
      <c r="G212" s="46" t="n"/>
      <c r="H212" s="46" t="n"/>
      <c r="I212" s="46" t="n"/>
      <c r="J212" s="46" t="n"/>
      <c r="K212" s="46" t="n"/>
      <c r="L212" s="46" t="n"/>
      <c r="M212" s="46" t="n"/>
      <c r="N212" s="46" t="n"/>
      <c r="O212" s="46" t="n"/>
      <c r="P212" s="46" t="n"/>
      <c r="Q212" s="115" t="n"/>
      <c r="R212" s="46" t="n"/>
      <c r="S212" s="46" t="n"/>
      <c r="T212" s="46" t="n"/>
      <c r="U212" s="46" t="n"/>
      <c r="V212" s="46" t="n"/>
      <c r="W212" s="46" t="n"/>
      <c r="X212" s="46" t="n"/>
      <c r="Y212" s="46" t="n"/>
      <c r="Z212" s="46" t="n"/>
    </row>
    <row r="213" ht="12.75" customHeight="1" s="162">
      <c r="A213" s="46" t="n"/>
      <c r="B213" s="46" t="n"/>
      <c r="C213" s="46" t="n"/>
      <c r="D213" s="46" t="n"/>
      <c r="E213" s="46" t="n"/>
      <c r="F213" s="46" t="n"/>
      <c r="G213" s="46" t="n"/>
      <c r="H213" s="46" t="n"/>
      <c r="I213" s="46" t="n"/>
      <c r="J213" s="46" t="n"/>
      <c r="K213" s="46" t="n"/>
      <c r="L213" s="46" t="n"/>
      <c r="M213" s="46" t="n"/>
      <c r="N213" s="46" t="n"/>
      <c r="O213" s="46" t="n"/>
      <c r="P213" s="46" t="n"/>
      <c r="Q213" s="115" t="n"/>
      <c r="R213" s="46" t="n"/>
      <c r="S213" s="46" t="n"/>
      <c r="T213" s="46" t="n"/>
      <c r="U213" s="46" t="n"/>
      <c r="V213" s="46" t="n"/>
      <c r="W213" s="46" t="n"/>
      <c r="X213" s="46" t="n"/>
      <c r="Y213" s="46" t="n"/>
      <c r="Z213" s="46" t="n"/>
    </row>
    <row r="214" ht="12.75" customHeight="1" s="162">
      <c r="A214" s="46" t="n"/>
      <c r="B214" s="46" t="n"/>
      <c r="C214" s="46" t="n"/>
      <c r="D214" s="46" t="n"/>
      <c r="E214" s="46" t="n"/>
      <c r="F214" s="46" t="n"/>
      <c r="G214" s="46" t="n"/>
      <c r="H214" s="46" t="n"/>
      <c r="I214" s="46" t="n"/>
      <c r="J214" s="46" t="n"/>
      <c r="K214" s="46" t="n"/>
      <c r="L214" s="46" t="n"/>
      <c r="M214" s="46" t="n"/>
      <c r="N214" s="46" t="n"/>
      <c r="O214" s="46" t="n"/>
      <c r="P214" s="46" t="n"/>
      <c r="Q214" s="115" t="n"/>
      <c r="R214" s="46" t="n"/>
      <c r="S214" s="46" t="n"/>
      <c r="T214" s="46" t="n"/>
      <c r="U214" s="46" t="n"/>
      <c r="V214" s="46" t="n"/>
      <c r="W214" s="46" t="n"/>
      <c r="X214" s="46" t="n"/>
      <c r="Y214" s="46" t="n"/>
      <c r="Z214" s="46" t="n"/>
    </row>
    <row r="215" ht="12.75" customHeight="1" s="162">
      <c r="A215" s="46" t="n"/>
      <c r="B215" s="46" t="n"/>
      <c r="C215" s="46" t="n"/>
      <c r="D215" s="46" t="n"/>
      <c r="E215" s="46" t="n"/>
      <c r="F215" s="46" t="n"/>
      <c r="G215" s="46" t="n"/>
      <c r="H215" s="46" t="n"/>
      <c r="I215" s="46" t="n"/>
      <c r="J215" s="46" t="n"/>
      <c r="K215" s="46" t="n"/>
      <c r="L215" s="46" t="n"/>
      <c r="M215" s="46" t="n"/>
      <c r="N215" s="46" t="n"/>
      <c r="O215" s="46" t="n"/>
      <c r="P215" s="46" t="n"/>
      <c r="Q215" s="115" t="n"/>
      <c r="R215" s="46" t="n"/>
      <c r="S215" s="46" t="n"/>
      <c r="T215" s="46" t="n"/>
      <c r="U215" s="46" t="n"/>
      <c r="V215" s="46" t="n"/>
      <c r="W215" s="46" t="n"/>
      <c r="X215" s="46" t="n"/>
      <c r="Y215" s="46" t="n"/>
      <c r="Z215" s="46" t="n"/>
    </row>
    <row r="216" ht="12.75" customHeight="1" s="162">
      <c r="A216" s="46" t="n"/>
      <c r="B216" s="46" t="n"/>
      <c r="C216" s="46" t="n"/>
      <c r="D216" s="46" t="n"/>
      <c r="E216" s="46" t="n"/>
      <c r="F216" s="46" t="n"/>
      <c r="G216" s="46" t="n"/>
      <c r="H216" s="46" t="n"/>
      <c r="I216" s="46" t="n"/>
      <c r="J216" s="46" t="n"/>
      <c r="K216" s="46" t="n"/>
      <c r="L216" s="46" t="n"/>
      <c r="M216" s="46" t="n"/>
      <c r="N216" s="46" t="n"/>
      <c r="O216" s="46" t="n"/>
      <c r="P216" s="46" t="n"/>
      <c r="Q216" s="115" t="n"/>
      <c r="R216" s="46" t="n"/>
      <c r="S216" s="46" t="n"/>
      <c r="T216" s="46" t="n"/>
      <c r="U216" s="46" t="n"/>
      <c r="V216" s="46" t="n"/>
      <c r="W216" s="46" t="n"/>
      <c r="X216" s="46" t="n"/>
      <c r="Y216" s="46" t="n"/>
      <c r="Z216" s="46" t="n"/>
    </row>
    <row r="217" ht="12.75" customHeight="1" s="162">
      <c r="A217" s="46" t="n"/>
      <c r="B217" s="46" t="n"/>
      <c r="C217" s="46" t="n"/>
      <c r="D217" s="46" t="n"/>
      <c r="E217" s="46" t="n"/>
      <c r="F217" s="46" t="n"/>
      <c r="G217" s="46" t="n"/>
      <c r="H217" s="46" t="n"/>
      <c r="I217" s="46" t="n"/>
      <c r="J217" s="46" t="n"/>
      <c r="K217" s="46" t="n"/>
      <c r="L217" s="46" t="n"/>
      <c r="M217" s="46" t="n"/>
      <c r="N217" s="46" t="n"/>
      <c r="O217" s="46" t="n"/>
      <c r="P217" s="46" t="n"/>
      <c r="Q217" s="115" t="n"/>
      <c r="R217" s="46" t="n"/>
      <c r="S217" s="46" t="n"/>
      <c r="T217" s="46" t="n"/>
      <c r="U217" s="46" t="n"/>
      <c r="V217" s="46" t="n"/>
      <c r="W217" s="46" t="n"/>
      <c r="X217" s="46" t="n"/>
      <c r="Y217" s="46" t="n"/>
      <c r="Z217" s="46" t="n"/>
    </row>
    <row r="218" ht="12.75" customHeight="1" s="162">
      <c r="A218" s="46" t="n"/>
      <c r="B218" s="46" t="n"/>
      <c r="C218" s="46" t="n"/>
      <c r="D218" s="46" t="n"/>
      <c r="E218" s="46" t="n"/>
      <c r="F218" s="46" t="n"/>
      <c r="G218" s="46" t="n"/>
      <c r="H218" s="46" t="n"/>
      <c r="I218" s="46" t="n"/>
      <c r="J218" s="46" t="n"/>
      <c r="K218" s="46" t="n"/>
      <c r="L218" s="46" t="n"/>
      <c r="M218" s="46" t="n"/>
      <c r="N218" s="46" t="n"/>
      <c r="O218" s="46" t="n"/>
      <c r="P218" s="46" t="n"/>
      <c r="Q218" s="115" t="n"/>
      <c r="R218" s="46" t="n"/>
      <c r="S218" s="46" t="n"/>
      <c r="T218" s="46" t="n"/>
      <c r="U218" s="46" t="n"/>
      <c r="V218" s="46" t="n"/>
      <c r="W218" s="46" t="n"/>
      <c r="X218" s="46" t="n"/>
      <c r="Y218" s="46" t="n"/>
      <c r="Z218" s="46" t="n"/>
    </row>
    <row r="219" ht="12.75" customHeight="1" s="162">
      <c r="A219" s="46" t="n"/>
      <c r="B219" s="46" t="n"/>
      <c r="C219" s="46" t="n"/>
      <c r="D219" s="46" t="n"/>
      <c r="E219" s="46" t="n"/>
      <c r="F219" s="46" t="n"/>
      <c r="G219" s="46" t="n"/>
      <c r="H219" s="46" t="n"/>
      <c r="I219" s="46" t="n"/>
      <c r="J219" s="46" t="n"/>
      <c r="K219" s="46" t="n"/>
      <c r="L219" s="46" t="n"/>
      <c r="M219" s="46" t="n"/>
      <c r="N219" s="46" t="n"/>
      <c r="O219" s="46" t="n"/>
      <c r="P219" s="46" t="n"/>
      <c r="Q219" s="115" t="n"/>
      <c r="R219" s="46" t="n"/>
      <c r="S219" s="46" t="n"/>
      <c r="T219" s="46" t="n"/>
      <c r="U219" s="46" t="n"/>
      <c r="V219" s="46" t="n"/>
      <c r="W219" s="46" t="n"/>
      <c r="X219" s="46" t="n"/>
      <c r="Y219" s="46" t="n"/>
      <c r="Z219" s="46" t="n"/>
    </row>
    <row r="220" ht="12.75" customHeight="1" s="162">
      <c r="A220" s="46" t="n"/>
      <c r="B220" s="46" t="n"/>
      <c r="C220" s="46" t="n"/>
      <c r="D220" s="46" t="n"/>
      <c r="E220" s="46" t="n"/>
      <c r="F220" s="46" t="n"/>
      <c r="G220" s="46" t="n"/>
      <c r="H220" s="46" t="n"/>
      <c r="I220" s="46" t="n"/>
      <c r="J220" s="46" t="n"/>
      <c r="K220" s="46" t="n"/>
      <c r="L220" s="46" t="n"/>
      <c r="M220" s="46" t="n"/>
      <c r="N220" s="46" t="n"/>
      <c r="O220" s="46" t="n"/>
      <c r="P220" s="46" t="n"/>
      <c r="Q220" s="115" t="n"/>
      <c r="R220" s="46" t="n"/>
      <c r="S220" s="46" t="n"/>
      <c r="T220" s="46" t="n"/>
      <c r="U220" s="46" t="n"/>
      <c r="V220" s="46" t="n"/>
      <c r="W220" s="46" t="n"/>
      <c r="X220" s="46" t="n"/>
      <c r="Y220" s="46" t="n"/>
      <c r="Z220" s="46" t="n"/>
    </row>
    <row r="221" ht="12.75" customHeight="1" s="162">
      <c r="A221" s="46" t="n"/>
      <c r="B221" s="46" t="n"/>
      <c r="C221" s="46" t="n"/>
      <c r="D221" s="46" t="n"/>
      <c r="E221" s="46" t="n"/>
      <c r="F221" s="46" t="n"/>
      <c r="G221" s="46" t="n"/>
      <c r="H221" s="46" t="n"/>
      <c r="I221" s="46" t="n"/>
      <c r="J221" s="46" t="n"/>
      <c r="K221" s="46" t="n"/>
      <c r="L221" s="46" t="n"/>
      <c r="M221" s="46" t="n"/>
      <c r="N221" s="46" t="n"/>
      <c r="O221" s="46" t="n"/>
      <c r="P221" s="46" t="n"/>
      <c r="Q221" s="115" t="n"/>
      <c r="R221" s="46" t="n"/>
      <c r="S221" s="46" t="n"/>
      <c r="T221" s="46" t="n"/>
      <c r="U221" s="46" t="n"/>
      <c r="V221" s="46" t="n"/>
      <c r="W221" s="46" t="n"/>
      <c r="X221" s="46" t="n"/>
      <c r="Y221" s="46" t="n"/>
      <c r="Z221" s="46" t="n"/>
    </row>
    <row r="222" ht="12.75" customHeight="1" s="162">
      <c r="A222" s="46" t="n"/>
      <c r="B222" s="46" t="n"/>
      <c r="C222" s="46" t="n"/>
      <c r="D222" s="46" t="n"/>
      <c r="E222" s="46" t="n"/>
      <c r="F222" s="46" t="n"/>
      <c r="G222" s="46" t="n"/>
      <c r="H222" s="46" t="n"/>
      <c r="I222" s="46" t="n"/>
      <c r="J222" s="46" t="n"/>
      <c r="K222" s="46" t="n"/>
      <c r="L222" s="46" t="n"/>
      <c r="M222" s="46" t="n"/>
      <c r="N222" s="46" t="n"/>
      <c r="O222" s="46" t="n"/>
      <c r="P222" s="46" t="n"/>
      <c r="Q222" s="115" t="n"/>
      <c r="R222" s="46" t="n"/>
      <c r="S222" s="46" t="n"/>
      <c r="T222" s="46" t="n"/>
      <c r="U222" s="46" t="n"/>
      <c r="V222" s="46" t="n"/>
      <c r="W222" s="46" t="n"/>
      <c r="X222" s="46" t="n"/>
      <c r="Y222" s="46" t="n"/>
      <c r="Z222" s="46" t="n"/>
    </row>
    <row r="223" ht="15.75" customHeight="1" s="162"/>
    <row r="224" ht="15.75" customHeight="1" s="162"/>
    <row r="225" ht="15.75" customHeight="1" s="162"/>
    <row r="226" ht="15.75" customHeight="1" s="162"/>
    <row r="227" ht="15.75" customHeight="1" s="162"/>
    <row r="228" ht="15.75" customHeight="1" s="162"/>
    <row r="229" ht="15.75" customHeight="1" s="162"/>
    <row r="230" ht="15.75" customHeight="1" s="162"/>
    <row r="231" ht="15.75" customHeight="1" s="162"/>
    <row r="232" ht="15.75" customHeight="1" s="162"/>
    <row r="233" ht="15.75" customHeight="1" s="162"/>
    <row r="234" ht="15.75" customHeight="1" s="162"/>
    <row r="235" ht="15.75" customHeight="1" s="162"/>
    <row r="236" ht="15.75" customHeight="1" s="162"/>
    <row r="237" ht="15.75" customHeight="1" s="162"/>
    <row r="238" ht="15.75" customHeight="1" s="162"/>
    <row r="239" ht="15.75" customHeight="1" s="162"/>
    <row r="240" ht="15.75" customHeight="1" s="162"/>
    <row r="241" ht="15.75" customHeight="1" s="162"/>
    <row r="242" ht="15.75" customHeight="1" s="162"/>
    <row r="243" ht="15.75" customHeight="1" s="162"/>
    <row r="244" ht="15.75" customHeight="1" s="162"/>
    <row r="245" ht="15.75" customHeight="1" s="162"/>
    <row r="246" ht="15.75" customHeight="1" s="162"/>
    <row r="247" ht="15.75" customHeight="1" s="162"/>
    <row r="248" ht="15.75" customHeight="1" s="162"/>
    <row r="249" ht="15.75" customHeight="1" s="162"/>
    <row r="250" ht="15.75" customHeight="1" s="162"/>
    <row r="251" ht="15.75" customHeight="1" s="162"/>
    <row r="252" ht="15.75" customHeight="1" s="162"/>
    <row r="253" ht="15.75" customHeight="1" s="162"/>
    <row r="254" ht="15.75" customHeight="1" s="162"/>
    <row r="255" ht="15.75" customHeight="1" s="162"/>
    <row r="256" ht="15.75" customHeight="1" s="162"/>
    <row r="257" ht="15.75" customHeight="1" s="162"/>
    <row r="258" ht="15.75" customHeight="1" s="162"/>
    <row r="259" ht="15.75" customHeight="1" s="162"/>
    <row r="260" ht="15.75" customHeight="1" s="162"/>
    <row r="261" ht="15.75" customHeight="1" s="162"/>
    <row r="262" ht="15.75" customHeight="1" s="162"/>
    <row r="263" ht="15.75" customHeight="1" s="162"/>
    <row r="264" ht="15.75" customHeight="1" s="162"/>
    <row r="265" ht="15.75" customHeight="1" s="162"/>
    <row r="266" ht="15.75" customHeight="1" s="162"/>
    <row r="267" ht="15.75" customHeight="1" s="162"/>
    <row r="268" ht="15.75" customHeight="1" s="162"/>
    <row r="269" ht="15.75" customHeight="1" s="162"/>
    <row r="270" ht="15.75" customHeight="1" s="162"/>
    <row r="271" ht="15.75" customHeight="1" s="162"/>
    <row r="272" ht="15.75" customHeight="1" s="162"/>
    <row r="273" ht="15.75" customHeight="1" s="162"/>
    <row r="274" ht="15.75" customHeight="1" s="162"/>
    <row r="275" ht="15.75" customHeight="1" s="162"/>
    <row r="276" ht="15.75" customHeight="1" s="162"/>
    <row r="277" ht="15.75" customHeight="1" s="162"/>
    <row r="278" ht="15.75" customHeight="1" s="162"/>
    <row r="279" ht="15.75" customHeight="1" s="162"/>
    <row r="280" ht="15.75" customHeight="1" s="162"/>
    <row r="281" ht="15.75" customHeight="1" s="162"/>
    <row r="282" ht="15.75" customHeight="1" s="162"/>
    <row r="283" ht="15.75" customHeight="1" s="162"/>
    <row r="284" ht="15.75" customHeight="1" s="162"/>
    <row r="285" ht="15.75" customHeight="1" s="162"/>
    <row r="286" ht="15.75" customHeight="1" s="162"/>
    <row r="287" ht="15.75" customHeight="1" s="162"/>
    <row r="288" ht="15.75" customHeight="1" s="162"/>
    <row r="289" ht="15.75" customHeight="1" s="162"/>
    <row r="290" ht="15.75" customHeight="1" s="162"/>
    <row r="291" ht="15.75" customHeight="1" s="162"/>
    <row r="292" ht="15.75" customHeight="1" s="162"/>
    <row r="293" ht="15.75" customHeight="1" s="162"/>
    <row r="294" ht="15.75" customHeight="1" s="162"/>
    <row r="295" ht="15.75" customHeight="1" s="162"/>
    <row r="296" ht="15.75" customHeight="1" s="162"/>
    <row r="297" ht="15.75" customHeight="1" s="162"/>
    <row r="298" ht="15.75" customHeight="1" s="162"/>
    <row r="299" ht="15.75" customHeight="1" s="162"/>
    <row r="300" ht="15.75" customHeight="1" s="162"/>
    <row r="301" ht="15.75" customHeight="1" s="162"/>
    <row r="302" ht="15.75" customHeight="1" s="162"/>
    <row r="303" ht="15.75" customHeight="1" s="162"/>
    <row r="304" ht="15.75" customHeight="1" s="162"/>
    <row r="305" ht="15.75" customHeight="1" s="162"/>
    <row r="306" ht="15.75" customHeight="1" s="162"/>
    <row r="307" ht="15.75" customHeight="1" s="162"/>
    <row r="308" ht="15.75" customHeight="1" s="162"/>
    <row r="309" ht="15.75" customHeight="1" s="162"/>
    <row r="310" ht="15.75" customHeight="1" s="162"/>
    <row r="311" ht="15.75" customHeight="1" s="162"/>
    <row r="312" ht="15.75" customHeight="1" s="162"/>
    <row r="313" ht="15.75" customHeight="1" s="162"/>
    <row r="314" ht="15.75" customHeight="1" s="162"/>
    <row r="315" ht="15.75" customHeight="1" s="162"/>
    <row r="316" ht="15.75" customHeight="1" s="162"/>
    <row r="317" ht="15.75" customHeight="1" s="162"/>
    <row r="318" ht="15.75" customHeight="1" s="162"/>
    <row r="319" ht="15.75" customHeight="1" s="162"/>
    <row r="320" ht="15.75" customHeight="1" s="162"/>
    <row r="321" ht="15.75" customHeight="1" s="162"/>
    <row r="322" ht="15.75" customHeight="1" s="162"/>
    <row r="323" ht="15.75" customHeight="1" s="162"/>
    <row r="324" ht="15.75" customHeight="1" s="162"/>
    <row r="325" ht="15.75" customHeight="1" s="162"/>
    <row r="326" ht="15.75" customHeight="1" s="162"/>
    <row r="327" ht="15.75" customHeight="1" s="162"/>
    <row r="328" ht="15.75" customHeight="1" s="162"/>
    <row r="329" ht="15.75" customHeight="1" s="162"/>
    <row r="330" ht="15.75" customHeight="1" s="162"/>
    <row r="331" ht="15.75" customHeight="1" s="162"/>
    <row r="332" ht="15.75" customHeight="1" s="162"/>
    <row r="333" ht="15.75" customHeight="1" s="162"/>
    <row r="334" ht="15.75" customHeight="1" s="162"/>
    <row r="335" ht="15.75" customHeight="1" s="162"/>
    <row r="336" ht="15.75" customHeight="1" s="162"/>
    <row r="337" ht="15.75" customHeight="1" s="162"/>
    <row r="338" ht="15.75" customHeight="1" s="162"/>
    <row r="339" ht="15.75" customHeight="1" s="162"/>
    <row r="340" ht="15.75" customHeight="1" s="162"/>
    <row r="341" ht="15.75" customHeight="1" s="162"/>
    <row r="342" ht="15.75" customHeight="1" s="162"/>
    <row r="343" ht="15.75" customHeight="1" s="162"/>
    <row r="344" ht="15.75" customHeight="1" s="162"/>
    <row r="345" ht="15.75" customHeight="1" s="162"/>
    <row r="346" ht="15.75" customHeight="1" s="162"/>
    <row r="347" ht="15.75" customHeight="1" s="162"/>
    <row r="348" ht="15.75" customHeight="1" s="162"/>
    <row r="349" ht="15.75" customHeight="1" s="162"/>
    <row r="350" ht="15.75" customHeight="1" s="162"/>
    <row r="351" ht="15.75" customHeight="1" s="162"/>
    <row r="352" ht="15.75" customHeight="1" s="162"/>
    <row r="353" ht="15.75" customHeight="1" s="162"/>
    <row r="354" ht="15.75" customHeight="1" s="162"/>
    <row r="355" ht="15.75" customHeight="1" s="162"/>
    <row r="356" ht="15.75" customHeight="1" s="162"/>
    <row r="357" ht="15.75" customHeight="1" s="162"/>
    <row r="358" ht="15.75" customHeight="1" s="162"/>
    <row r="359" ht="15.75" customHeight="1" s="162"/>
    <row r="360" ht="15.75" customHeight="1" s="162"/>
    <row r="361" ht="15.75" customHeight="1" s="162"/>
    <row r="362" ht="15.75" customHeight="1" s="162"/>
    <row r="363" ht="15.75" customHeight="1" s="162"/>
    <row r="364" ht="15.75" customHeight="1" s="162"/>
    <row r="365" ht="15.75" customHeight="1" s="162"/>
    <row r="366" ht="15.75" customHeight="1" s="162"/>
    <row r="367" ht="15.75" customHeight="1" s="162"/>
    <row r="368" ht="15.75" customHeight="1" s="162"/>
    <row r="369" ht="15.75" customHeight="1" s="162"/>
    <row r="370" ht="15.75" customHeight="1" s="162"/>
    <row r="371" ht="15.75" customHeight="1" s="162"/>
    <row r="372" ht="15.75" customHeight="1" s="162"/>
    <row r="373" ht="15.75" customHeight="1" s="162"/>
    <row r="374" ht="15.75" customHeight="1" s="162"/>
    <row r="375" ht="15.75" customHeight="1" s="162"/>
    <row r="376" ht="15.75" customHeight="1" s="162"/>
    <row r="377" ht="15.75" customHeight="1" s="162"/>
    <row r="378" ht="15.75" customHeight="1" s="162"/>
    <row r="379" ht="15.75" customHeight="1" s="162"/>
    <row r="380" ht="15.75" customHeight="1" s="162"/>
    <row r="381" ht="15.75" customHeight="1" s="162"/>
    <row r="382" ht="15.75" customHeight="1" s="162"/>
    <row r="383" ht="15.75" customHeight="1" s="162"/>
    <row r="384" ht="15.75" customHeight="1" s="162"/>
    <row r="385" ht="15.75" customHeight="1" s="162"/>
    <row r="386" ht="15.75" customHeight="1" s="162"/>
    <row r="387" ht="15.75" customHeight="1" s="162"/>
    <row r="388" ht="15.75" customHeight="1" s="162"/>
    <row r="389" ht="15.75" customHeight="1" s="162"/>
    <row r="390" ht="15.75" customHeight="1" s="162"/>
    <row r="391" ht="15.75" customHeight="1" s="162"/>
    <row r="392" ht="15.75" customHeight="1" s="162"/>
    <row r="393" ht="15.75" customHeight="1" s="162"/>
    <row r="394" ht="15.75" customHeight="1" s="162"/>
    <row r="395" ht="15.75" customHeight="1" s="162"/>
    <row r="396" ht="15.75" customHeight="1" s="162"/>
    <row r="397" ht="15.75" customHeight="1" s="162"/>
    <row r="398" ht="15.75" customHeight="1" s="162"/>
    <row r="399" ht="15.75" customHeight="1" s="162"/>
    <row r="400" ht="15.75" customHeight="1" s="162"/>
    <row r="401" ht="15.75" customHeight="1" s="162"/>
    <row r="402" ht="15.75" customHeight="1" s="162"/>
    <row r="403" ht="15.75" customHeight="1" s="162"/>
    <row r="404" ht="15.75" customHeight="1" s="162"/>
    <row r="405" ht="15.75" customHeight="1" s="162"/>
    <row r="406" ht="15.75" customHeight="1" s="162"/>
    <row r="407" ht="15.75" customHeight="1" s="162"/>
    <row r="408" ht="15.75" customHeight="1" s="162"/>
    <row r="409" ht="15.75" customHeight="1" s="162"/>
    <row r="410" ht="15.75" customHeight="1" s="162"/>
    <row r="411" ht="15.75" customHeight="1" s="162"/>
    <row r="412" ht="15.75" customHeight="1" s="162"/>
    <row r="413" ht="15.75" customHeight="1" s="162"/>
    <row r="414" ht="15.75" customHeight="1" s="162"/>
    <row r="415" ht="15.75" customHeight="1" s="162"/>
    <row r="416" ht="15.75" customHeight="1" s="162"/>
    <row r="417" ht="15.75" customHeight="1" s="162"/>
    <row r="418" ht="15.75" customHeight="1" s="162"/>
    <row r="419" ht="15.75" customHeight="1" s="162"/>
    <row r="420" ht="15.75" customHeight="1" s="162"/>
    <row r="421" ht="15.75" customHeight="1" s="162"/>
    <row r="422" ht="15.75" customHeight="1" s="162"/>
    <row r="423" ht="15.75" customHeight="1" s="162"/>
    <row r="424" ht="15.75" customHeight="1" s="162"/>
    <row r="425" ht="15.75" customHeight="1" s="162"/>
    <row r="426" ht="15.75" customHeight="1" s="162"/>
    <row r="427" ht="15.75" customHeight="1" s="162"/>
    <row r="428" ht="15.75" customHeight="1" s="162"/>
    <row r="429" ht="15.75" customHeight="1" s="162"/>
    <row r="430" ht="15.75" customHeight="1" s="162"/>
    <row r="431" ht="15.75" customHeight="1" s="162"/>
    <row r="432" ht="15.75" customHeight="1" s="162"/>
    <row r="433" ht="15.75" customHeight="1" s="162"/>
    <row r="434" ht="15.75" customHeight="1" s="162"/>
    <row r="435" ht="15.75" customHeight="1" s="162"/>
    <row r="436" ht="15.75" customHeight="1" s="162"/>
    <row r="437" ht="15.75" customHeight="1" s="162"/>
    <row r="438" ht="15.75" customHeight="1" s="162"/>
    <row r="439" ht="15.75" customHeight="1" s="162"/>
    <row r="440" ht="15.75" customHeight="1" s="162"/>
    <row r="441" ht="15.75" customHeight="1" s="162"/>
    <row r="442" ht="15.75" customHeight="1" s="162"/>
    <row r="443" ht="15.75" customHeight="1" s="162"/>
    <row r="444" ht="15.75" customHeight="1" s="162"/>
    <row r="445" ht="15.75" customHeight="1" s="162"/>
    <row r="446" ht="15.75" customHeight="1" s="162"/>
    <row r="447" ht="15.75" customHeight="1" s="162"/>
    <row r="448" ht="15.75" customHeight="1" s="162"/>
    <row r="449" ht="15.75" customHeight="1" s="162"/>
    <row r="450" ht="15.75" customHeight="1" s="162"/>
    <row r="451" ht="15.75" customHeight="1" s="162"/>
    <row r="452" ht="15.75" customHeight="1" s="162"/>
    <row r="453" ht="15.75" customHeight="1" s="162"/>
    <row r="454" ht="15.75" customHeight="1" s="162"/>
    <row r="455" ht="15.75" customHeight="1" s="162"/>
    <row r="456" ht="15.75" customHeight="1" s="162"/>
    <row r="457" ht="15.75" customHeight="1" s="162"/>
    <row r="458" ht="15.75" customHeight="1" s="162"/>
    <row r="459" ht="15.75" customHeight="1" s="162"/>
    <row r="460" ht="15.75" customHeight="1" s="162"/>
    <row r="461" ht="15.75" customHeight="1" s="162"/>
    <row r="462" ht="15.75" customHeight="1" s="162"/>
    <row r="463" ht="15.75" customHeight="1" s="162"/>
    <row r="464" ht="15.75" customHeight="1" s="162"/>
    <row r="465" ht="15.75" customHeight="1" s="162"/>
    <row r="466" ht="15.75" customHeight="1" s="162"/>
    <row r="467" ht="15.75" customHeight="1" s="162"/>
    <row r="468" ht="15.75" customHeight="1" s="162"/>
    <row r="469" ht="15.75" customHeight="1" s="162"/>
    <row r="470" ht="15.75" customHeight="1" s="162"/>
    <row r="471" ht="15.75" customHeight="1" s="162"/>
    <row r="472" ht="15.75" customHeight="1" s="162"/>
    <row r="473" ht="15.75" customHeight="1" s="162"/>
    <row r="474" ht="15.75" customHeight="1" s="162"/>
    <row r="475" ht="15.75" customHeight="1" s="162"/>
    <row r="476" ht="15.75" customHeight="1" s="162"/>
    <row r="477" ht="15.75" customHeight="1" s="162"/>
    <row r="478" ht="15.75" customHeight="1" s="162"/>
    <row r="479" ht="15.75" customHeight="1" s="162"/>
    <row r="480" ht="15.75" customHeight="1" s="162"/>
    <row r="481" ht="15.75" customHeight="1" s="162"/>
    <row r="482" ht="15.75" customHeight="1" s="162"/>
    <row r="483" ht="15.75" customHeight="1" s="162"/>
    <row r="484" ht="15.75" customHeight="1" s="162"/>
    <row r="485" ht="15.75" customHeight="1" s="162"/>
    <row r="486" ht="15.75" customHeight="1" s="162"/>
    <row r="487" ht="15.75" customHeight="1" s="162"/>
    <row r="488" ht="15.75" customHeight="1" s="162"/>
    <row r="489" ht="15.75" customHeight="1" s="162"/>
    <row r="490" ht="15.75" customHeight="1" s="162"/>
    <row r="491" ht="15.75" customHeight="1" s="162"/>
    <row r="492" ht="15.75" customHeight="1" s="162"/>
    <row r="493" ht="15.75" customHeight="1" s="162"/>
    <row r="494" ht="15.75" customHeight="1" s="162"/>
    <row r="495" ht="15.75" customHeight="1" s="162"/>
    <row r="496" ht="15.75" customHeight="1" s="162"/>
    <row r="497" ht="15.75" customHeight="1" s="162"/>
    <row r="498" ht="15.75" customHeight="1" s="162"/>
    <row r="499" ht="15.75" customHeight="1" s="162"/>
    <row r="500" ht="15.75" customHeight="1" s="162"/>
    <row r="501" ht="15.75" customHeight="1" s="162"/>
    <row r="502" ht="15.75" customHeight="1" s="162"/>
    <row r="503" ht="15.75" customHeight="1" s="162"/>
    <row r="504" ht="15.75" customHeight="1" s="162"/>
    <row r="505" ht="15.75" customHeight="1" s="162"/>
    <row r="506" ht="15.75" customHeight="1" s="162"/>
    <row r="507" ht="15.75" customHeight="1" s="162"/>
    <row r="508" ht="15.75" customHeight="1" s="162"/>
    <row r="509" ht="15.75" customHeight="1" s="162"/>
    <row r="510" ht="15.75" customHeight="1" s="162"/>
    <row r="511" ht="15.75" customHeight="1" s="162"/>
    <row r="512" ht="15.75" customHeight="1" s="162"/>
    <row r="513" ht="15.75" customHeight="1" s="162"/>
    <row r="514" ht="15.75" customHeight="1" s="162"/>
    <row r="515" ht="15.75" customHeight="1" s="162"/>
    <row r="516" ht="15.75" customHeight="1" s="162"/>
    <row r="517" ht="15.75" customHeight="1" s="162"/>
    <row r="518" ht="15.75" customHeight="1" s="162"/>
    <row r="519" ht="15.75" customHeight="1" s="162"/>
    <row r="520" ht="15.75" customHeight="1" s="162"/>
    <row r="521" ht="15.75" customHeight="1" s="162"/>
    <row r="522" ht="15.75" customHeight="1" s="162"/>
    <row r="523" ht="15.75" customHeight="1" s="162"/>
    <row r="524" ht="15.75" customHeight="1" s="162"/>
    <row r="525" ht="15.75" customHeight="1" s="162"/>
    <row r="526" ht="15.75" customHeight="1" s="162"/>
    <row r="527" ht="15.75" customHeight="1" s="162"/>
    <row r="528" ht="15.75" customHeight="1" s="162"/>
    <row r="529" ht="15.75" customHeight="1" s="162"/>
    <row r="530" ht="15.75" customHeight="1" s="162"/>
    <row r="531" ht="15.75" customHeight="1" s="162"/>
    <row r="532" ht="15.75" customHeight="1" s="162"/>
    <row r="533" ht="15.75" customHeight="1" s="162"/>
    <row r="534" ht="15.75" customHeight="1" s="162"/>
    <row r="535" ht="15.75" customHeight="1" s="162"/>
    <row r="536" ht="15.75" customHeight="1" s="162"/>
    <row r="537" ht="15.75" customHeight="1" s="162"/>
    <row r="538" ht="15.75" customHeight="1" s="162"/>
    <row r="539" ht="15.75" customHeight="1" s="162"/>
    <row r="540" ht="15.75" customHeight="1" s="162"/>
    <row r="541" ht="15.75" customHeight="1" s="162"/>
    <row r="542" ht="15.75" customHeight="1" s="162"/>
    <row r="543" ht="15.75" customHeight="1" s="162"/>
    <row r="544" ht="15.75" customHeight="1" s="162"/>
    <row r="545" ht="15.75" customHeight="1" s="162"/>
    <row r="546" ht="15.75" customHeight="1" s="162"/>
    <row r="547" ht="15.75" customHeight="1" s="162"/>
    <row r="548" ht="15.75" customHeight="1" s="162"/>
    <row r="549" ht="15.75" customHeight="1" s="162"/>
    <row r="550" ht="15.75" customHeight="1" s="162"/>
    <row r="551" ht="15.75" customHeight="1" s="162"/>
    <row r="552" ht="15.75" customHeight="1" s="162"/>
    <row r="553" ht="15.75" customHeight="1" s="162"/>
    <row r="554" ht="15.75" customHeight="1" s="162"/>
    <row r="555" ht="15.75" customHeight="1" s="162"/>
    <row r="556" ht="15.75" customHeight="1" s="162"/>
    <row r="557" ht="15.75" customHeight="1" s="162"/>
    <row r="558" ht="15.75" customHeight="1" s="162"/>
    <row r="559" ht="15.75" customHeight="1" s="162"/>
    <row r="560" ht="15.75" customHeight="1" s="162"/>
    <row r="561" ht="15.75" customHeight="1" s="162"/>
    <row r="562" ht="15.75" customHeight="1" s="162"/>
    <row r="563" ht="15.75" customHeight="1" s="162"/>
    <row r="564" ht="15.75" customHeight="1" s="162"/>
    <row r="565" ht="15.75" customHeight="1" s="162"/>
    <row r="566" ht="15.75" customHeight="1" s="162"/>
    <row r="567" ht="15.75" customHeight="1" s="162"/>
    <row r="568" ht="15.75" customHeight="1" s="162"/>
    <row r="569" ht="15.75" customHeight="1" s="162"/>
    <row r="570" ht="15.75" customHeight="1" s="162"/>
    <row r="571" ht="15.75" customHeight="1" s="162"/>
    <row r="572" ht="15.75" customHeight="1" s="162"/>
    <row r="573" ht="15.75" customHeight="1" s="162"/>
    <row r="574" ht="15.75" customHeight="1" s="162"/>
    <row r="575" ht="15.75" customHeight="1" s="162"/>
    <row r="576" ht="15.75" customHeight="1" s="162"/>
    <row r="577" ht="15.75" customHeight="1" s="162"/>
    <row r="578" ht="15.75" customHeight="1" s="162"/>
    <row r="579" ht="15.75" customHeight="1" s="162"/>
    <row r="580" ht="15.75" customHeight="1" s="162"/>
    <row r="581" ht="15.75" customHeight="1" s="162"/>
    <row r="582" ht="15.75" customHeight="1" s="162"/>
    <row r="583" ht="15.75" customHeight="1" s="162"/>
    <row r="584" ht="15.75" customHeight="1" s="162"/>
    <row r="585" ht="15.75" customHeight="1" s="162"/>
    <row r="586" ht="15.75" customHeight="1" s="162"/>
    <row r="587" ht="15.75" customHeight="1" s="162"/>
    <row r="588" ht="15.75" customHeight="1" s="162"/>
    <row r="589" ht="15.75" customHeight="1" s="162"/>
    <row r="590" ht="15.75" customHeight="1" s="162"/>
    <row r="591" ht="15.75" customHeight="1" s="162"/>
    <row r="592" ht="15.75" customHeight="1" s="162"/>
    <row r="593" ht="15.75" customHeight="1" s="162"/>
    <row r="594" ht="15.75" customHeight="1" s="162"/>
    <row r="595" ht="15.75" customHeight="1" s="162"/>
    <row r="596" ht="15.75" customHeight="1" s="162"/>
    <row r="597" ht="15.75" customHeight="1" s="162"/>
    <row r="598" ht="15.75" customHeight="1" s="162"/>
    <row r="599" ht="15.75" customHeight="1" s="162"/>
    <row r="600" ht="15.75" customHeight="1" s="162"/>
    <row r="601" ht="15.75" customHeight="1" s="162"/>
    <row r="602" ht="15.75" customHeight="1" s="162"/>
    <row r="603" ht="15.75" customHeight="1" s="162"/>
    <row r="604" ht="15.75" customHeight="1" s="162"/>
    <row r="605" ht="15.75" customHeight="1" s="162"/>
    <row r="606" ht="15.75" customHeight="1" s="162"/>
    <row r="607" ht="15.75" customHeight="1" s="162"/>
    <row r="608" ht="15.75" customHeight="1" s="162"/>
    <row r="609" ht="15.75" customHeight="1" s="162"/>
    <row r="610" ht="15.75" customHeight="1" s="162"/>
    <row r="611" ht="15.75" customHeight="1" s="162"/>
    <row r="612" ht="15.75" customHeight="1" s="162"/>
    <row r="613" ht="15.75" customHeight="1" s="162"/>
    <row r="614" ht="15.75" customHeight="1" s="162"/>
    <row r="615" ht="15.75" customHeight="1" s="162"/>
    <row r="616" ht="15.75" customHeight="1" s="162"/>
    <row r="617" ht="15.75" customHeight="1" s="162"/>
    <row r="618" ht="15.75" customHeight="1" s="162"/>
    <row r="619" ht="15.75" customHeight="1" s="162"/>
    <row r="620" ht="15.75" customHeight="1" s="162"/>
    <row r="621" ht="15.75" customHeight="1" s="162"/>
    <row r="622" ht="15.75" customHeight="1" s="162"/>
    <row r="623" ht="15.75" customHeight="1" s="162"/>
    <row r="624" ht="15.75" customHeight="1" s="162"/>
    <row r="625" ht="15.75" customHeight="1" s="162"/>
    <row r="626" ht="15.75" customHeight="1" s="162"/>
    <row r="627" ht="15.75" customHeight="1" s="162"/>
    <row r="628" ht="15.75" customHeight="1" s="162"/>
    <row r="629" ht="15.75" customHeight="1" s="162"/>
    <row r="630" ht="15.75" customHeight="1" s="162"/>
    <row r="631" ht="15.75" customHeight="1" s="162"/>
    <row r="632" ht="15.75" customHeight="1" s="162"/>
    <row r="633" ht="15.75" customHeight="1" s="162"/>
    <row r="634" ht="15.75" customHeight="1" s="162"/>
    <row r="635" ht="15.75" customHeight="1" s="162"/>
    <row r="636" ht="15.75" customHeight="1" s="162"/>
    <row r="637" ht="15.75" customHeight="1" s="162"/>
    <row r="638" ht="15.75" customHeight="1" s="162"/>
    <row r="639" ht="15.75" customHeight="1" s="162"/>
    <row r="640" ht="15.75" customHeight="1" s="162"/>
    <row r="641" ht="15.75" customHeight="1" s="162"/>
    <row r="642" ht="15.75" customHeight="1" s="162"/>
    <row r="643" ht="15.75" customHeight="1" s="162"/>
    <row r="644" ht="15.75" customHeight="1" s="162"/>
    <row r="645" ht="15.75" customHeight="1" s="162"/>
    <row r="646" ht="15.75" customHeight="1" s="162"/>
    <row r="647" ht="15.75" customHeight="1" s="162"/>
    <row r="648" ht="15.75" customHeight="1" s="162"/>
    <row r="649" ht="15.75" customHeight="1" s="162"/>
    <row r="650" ht="15.75" customHeight="1" s="162"/>
    <row r="651" ht="15.75" customHeight="1" s="162"/>
    <row r="652" ht="15.75" customHeight="1" s="162"/>
    <row r="653" ht="15.75" customHeight="1" s="162"/>
    <row r="654" ht="15.75" customHeight="1" s="162"/>
    <row r="655" ht="15.75" customHeight="1" s="162"/>
    <row r="656" ht="15.75" customHeight="1" s="162"/>
    <row r="657" ht="15.75" customHeight="1" s="162"/>
    <row r="658" ht="15.75" customHeight="1" s="162"/>
    <row r="659" ht="15.75" customHeight="1" s="162"/>
    <row r="660" ht="15.75" customHeight="1" s="162"/>
    <row r="661" ht="15.75" customHeight="1" s="162"/>
    <row r="662" ht="15.75" customHeight="1" s="162"/>
    <row r="663" ht="15.75" customHeight="1" s="162"/>
    <row r="664" ht="15.75" customHeight="1" s="162"/>
    <row r="665" ht="15.75" customHeight="1" s="162"/>
    <row r="666" ht="15.75" customHeight="1" s="162"/>
    <row r="667" ht="15.75" customHeight="1" s="162"/>
    <row r="668" ht="15.75" customHeight="1" s="162"/>
    <row r="669" ht="15.75" customHeight="1" s="162"/>
    <row r="670" ht="15.75" customHeight="1" s="162"/>
    <row r="671" ht="15.75" customHeight="1" s="162"/>
    <row r="672" ht="15.75" customHeight="1" s="162"/>
    <row r="673" ht="15.75" customHeight="1" s="162"/>
    <row r="674" ht="15.75" customHeight="1" s="162"/>
    <row r="675" ht="15.75" customHeight="1" s="162"/>
    <row r="676" ht="15.75" customHeight="1" s="162"/>
    <row r="677" ht="15.75" customHeight="1" s="162"/>
    <row r="678" ht="15.75" customHeight="1" s="162"/>
    <row r="679" ht="15.75" customHeight="1" s="162"/>
    <row r="680" ht="15.75" customHeight="1" s="162"/>
    <row r="681" ht="15.75" customHeight="1" s="162"/>
    <row r="682" ht="15.75" customHeight="1" s="162"/>
    <row r="683" ht="15.75" customHeight="1" s="162"/>
    <row r="684" ht="15.75" customHeight="1" s="162"/>
    <row r="685" ht="15.75" customHeight="1" s="162"/>
    <row r="686" ht="15.75" customHeight="1" s="162"/>
    <row r="687" ht="15.75" customHeight="1" s="162"/>
    <row r="688" ht="15.75" customHeight="1" s="162"/>
    <row r="689" ht="15.75" customHeight="1" s="162"/>
    <row r="690" ht="15.75" customHeight="1" s="162"/>
    <row r="691" ht="15.75" customHeight="1" s="162"/>
    <row r="692" ht="15.75" customHeight="1" s="162"/>
    <row r="693" ht="15.75" customHeight="1" s="162"/>
    <row r="694" ht="15.75" customHeight="1" s="162"/>
    <row r="695" ht="15.75" customHeight="1" s="162"/>
    <row r="696" ht="15.75" customHeight="1" s="162"/>
    <row r="697" ht="15.75" customHeight="1" s="162"/>
    <row r="698" ht="15.75" customHeight="1" s="162"/>
    <row r="699" ht="15.75" customHeight="1" s="162"/>
    <row r="700" ht="15.75" customHeight="1" s="162"/>
    <row r="701" ht="15.75" customHeight="1" s="162"/>
    <row r="702" ht="15.75" customHeight="1" s="162"/>
    <row r="703" ht="15.75" customHeight="1" s="162"/>
    <row r="704" ht="15.75" customHeight="1" s="162"/>
    <row r="705" ht="15.75" customHeight="1" s="162"/>
    <row r="706" ht="15.75" customHeight="1" s="162"/>
    <row r="707" ht="15.75" customHeight="1" s="162"/>
    <row r="708" ht="15.75" customHeight="1" s="162"/>
    <row r="709" ht="15.75" customHeight="1" s="162"/>
    <row r="710" ht="15.75" customHeight="1" s="162"/>
    <row r="711" ht="15.75" customHeight="1" s="162"/>
    <row r="712" ht="15.75" customHeight="1" s="162"/>
    <row r="713" ht="15.75" customHeight="1" s="162"/>
    <row r="714" ht="15.75" customHeight="1" s="162"/>
    <row r="715" ht="15.75" customHeight="1" s="162"/>
    <row r="716" ht="15.75" customHeight="1" s="162"/>
    <row r="717" ht="15.75" customHeight="1" s="162"/>
    <row r="718" ht="15.75" customHeight="1" s="162"/>
    <row r="719" ht="15.75" customHeight="1" s="162"/>
    <row r="720" ht="15.75" customHeight="1" s="162"/>
    <row r="721" ht="15.75" customHeight="1" s="162"/>
    <row r="722" ht="15.75" customHeight="1" s="162"/>
    <row r="723" ht="15.75" customHeight="1" s="162"/>
    <row r="724" ht="15.75" customHeight="1" s="162"/>
    <row r="725" ht="15.75" customHeight="1" s="162"/>
    <row r="726" ht="15.75" customHeight="1" s="162"/>
    <row r="727" ht="15.75" customHeight="1" s="162"/>
    <row r="728" ht="15.75" customHeight="1" s="162"/>
    <row r="729" ht="15.75" customHeight="1" s="162"/>
    <row r="730" ht="15.75" customHeight="1" s="162"/>
    <row r="731" ht="15.75" customHeight="1" s="162"/>
    <row r="732" ht="15.75" customHeight="1" s="162"/>
    <row r="733" ht="15.75" customHeight="1" s="162"/>
    <row r="734" ht="15.75" customHeight="1" s="162"/>
    <row r="735" ht="15.75" customHeight="1" s="162"/>
    <row r="736" ht="15.75" customHeight="1" s="162"/>
    <row r="737" ht="15.75" customHeight="1" s="162"/>
    <row r="738" ht="15.75" customHeight="1" s="162"/>
    <row r="739" ht="15.75" customHeight="1" s="162"/>
    <row r="740" ht="15.75" customHeight="1" s="162"/>
    <row r="741" ht="15.75" customHeight="1" s="162"/>
    <row r="742" ht="15.75" customHeight="1" s="162"/>
    <row r="743" ht="15.75" customHeight="1" s="162"/>
    <row r="744" ht="15.75" customHeight="1" s="162"/>
    <row r="745" ht="15.75" customHeight="1" s="162"/>
    <row r="746" ht="15.75" customHeight="1" s="162"/>
    <row r="747" ht="15.75" customHeight="1" s="162"/>
    <row r="748" ht="15.75" customHeight="1" s="162"/>
    <row r="749" ht="15.75" customHeight="1" s="162"/>
    <row r="750" ht="15.75" customHeight="1" s="162"/>
    <row r="751" ht="15.75" customHeight="1" s="162"/>
    <row r="752" ht="15.75" customHeight="1" s="162"/>
    <row r="753" ht="15.75" customHeight="1" s="162"/>
    <row r="754" ht="15.75" customHeight="1" s="162"/>
    <row r="755" ht="15.75" customHeight="1" s="162"/>
    <row r="756" ht="15.75" customHeight="1" s="162"/>
    <row r="757" ht="15.75" customHeight="1" s="162"/>
    <row r="758" ht="15.75" customHeight="1" s="162"/>
    <row r="759" ht="15.75" customHeight="1" s="162"/>
    <row r="760" ht="15.75" customHeight="1" s="162"/>
    <row r="761" ht="15.75" customHeight="1" s="162"/>
    <row r="762" ht="15.75" customHeight="1" s="162"/>
    <row r="763" ht="15.75" customHeight="1" s="162"/>
    <row r="764" ht="15.75" customHeight="1" s="162"/>
    <row r="765" ht="15.75" customHeight="1" s="162"/>
    <row r="766" ht="15.75" customHeight="1" s="162"/>
    <row r="767" ht="15.75" customHeight="1" s="162"/>
    <row r="768" ht="15.75" customHeight="1" s="162"/>
    <row r="769" ht="15.75" customHeight="1" s="162"/>
    <row r="770" ht="15.75" customHeight="1" s="162"/>
    <row r="771" ht="15.75" customHeight="1" s="162"/>
    <row r="772" ht="15.75" customHeight="1" s="162"/>
    <row r="773" ht="15.75" customHeight="1" s="162"/>
    <row r="774" ht="15.75" customHeight="1" s="162"/>
    <row r="775" ht="15.75" customHeight="1" s="162"/>
    <row r="776" ht="15.75" customHeight="1" s="162"/>
    <row r="777" ht="15.75" customHeight="1" s="162"/>
    <row r="778" ht="15.75" customHeight="1" s="162"/>
    <row r="779" ht="15.75" customHeight="1" s="162"/>
    <row r="780" ht="15.75" customHeight="1" s="162"/>
    <row r="781" ht="15.75" customHeight="1" s="162"/>
    <row r="782" ht="15.75" customHeight="1" s="162"/>
    <row r="783" ht="15.75" customHeight="1" s="162"/>
    <row r="784" ht="15.75" customHeight="1" s="162"/>
    <row r="785" ht="15.75" customHeight="1" s="162"/>
    <row r="786" ht="15.75" customHeight="1" s="162"/>
    <row r="787" ht="15.75" customHeight="1" s="162"/>
    <row r="788" ht="15.75" customHeight="1" s="162"/>
    <row r="789" ht="15.75" customHeight="1" s="162"/>
    <row r="790" ht="15.75" customHeight="1" s="162"/>
    <row r="791" ht="15.75" customHeight="1" s="162"/>
    <row r="792" ht="15.75" customHeight="1" s="162"/>
    <row r="793" ht="15.75" customHeight="1" s="162"/>
    <row r="794" ht="15.75" customHeight="1" s="162"/>
    <row r="795" ht="15.75" customHeight="1" s="162"/>
    <row r="796" ht="15.75" customHeight="1" s="162"/>
    <row r="797" ht="15.75" customHeight="1" s="162"/>
    <row r="798" ht="15.75" customHeight="1" s="162"/>
    <row r="799" ht="15.75" customHeight="1" s="162"/>
    <row r="800" ht="15.75" customHeight="1" s="162"/>
    <row r="801" ht="15.75" customHeight="1" s="162"/>
    <row r="802" ht="15.75" customHeight="1" s="162"/>
    <row r="803" ht="15.75" customHeight="1" s="162"/>
    <row r="804" ht="15.75" customHeight="1" s="162"/>
    <row r="805" ht="15.75" customHeight="1" s="162"/>
    <row r="806" ht="15.75" customHeight="1" s="162"/>
    <row r="807" ht="15.75" customHeight="1" s="162"/>
    <row r="808" ht="15.75" customHeight="1" s="162"/>
    <row r="809" ht="15.75" customHeight="1" s="162"/>
    <row r="810" ht="15.75" customHeight="1" s="162"/>
    <row r="811" ht="15.75" customHeight="1" s="162"/>
    <row r="812" ht="15.75" customHeight="1" s="162"/>
    <row r="813" ht="15.75" customHeight="1" s="162"/>
    <row r="814" ht="15.75" customHeight="1" s="162"/>
    <row r="815" ht="15.75" customHeight="1" s="162"/>
    <row r="816" ht="15.75" customHeight="1" s="162"/>
    <row r="817" ht="15.75" customHeight="1" s="162"/>
    <row r="818" ht="15.75" customHeight="1" s="162"/>
    <row r="819" ht="15.75" customHeight="1" s="162"/>
    <row r="820" ht="15.75" customHeight="1" s="162"/>
    <row r="821" ht="15.75" customHeight="1" s="162"/>
    <row r="822" ht="15.75" customHeight="1" s="162"/>
    <row r="823" ht="15.75" customHeight="1" s="162"/>
    <row r="824" ht="15.75" customHeight="1" s="162"/>
    <row r="825" ht="15.75" customHeight="1" s="162"/>
    <row r="826" ht="15.75" customHeight="1" s="162"/>
    <row r="827" ht="15.75" customHeight="1" s="162"/>
    <row r="828" ht="15.75" customHeight="1" s="162"/>
    <row r="829" ht="15.75" customHeight="1" s="162"/>
    <row r="830" ht="15.75" customHeight="1" s="162"/>
    <row r="831" ht="15.75" customHeight="1" s="162"/>
    <row r="832" ht="15.75" customHeight="1" s="162"/>
    <row r="833" ht="15.75" customHeight="1" s="162"/>
    <row r="834" ht="15.75" customHeight="1" s="162"/>
    <row r="835" ht="15.75" customHeight="1" s="162"/>
    <row r="836" ht="15.75" customHeight="1" s="162"/>
    <row r="837" ht="15.75" customHeight="1" s="162"/>
    <row r="838" ht="15.75" customHeight="1" s="162"/>
    <row r="839" ht="15.75" customHeight="1" s="162"/>
    <row r="840" ht="15.75" customHeight="1" s="162"/>
    <row r="841" ht="15.75" customHeight="1" s="162"/>
    <row r="842" ht="15.75" customHeight="1" s="162"/>
    <row r="843" ht="15.75" customHeight="1" s="162"/>
    <row r="844" ht="15.75" customHeight="1" s="162"/>
    <row r="845" ht="15.75" customHeight="1" s="162"/>
    <row r="846" ht="15.75" customHeight="1" s="162"/>
    <row r="847" ht="15.75" customHeight="1" s="162"/>
    <row r="848" ht="15.75" customHeight="1" s="162"/>
    <row r="849" ht="15.75" customHeight="1" s="162"/>
    <row r="850" ht="15.75" customHeight="1" s="162"/>
    <row r="851" ht="15.75" customHeight="1" s="162"/>
    <row r="852" ht="15.75" customHeight="1" s="162"/>
    <row r="853" ht="15.75" customHeight="1" s="162"/>
    <row r="854" ht="15.75" customHeight="1" s="162"/>
    <row r="855" ht="15.75" customHeight="1" s="162"/>
    <row r="856" ht="15.75" customHeight="1" s="162"/>
    <row r="857" ht="15.75" customHeight="1" s="162"/>
    <row r="858" ht="15.75" customHeight="1" s="162"/>
    <row r="859" ht="15.75" customHeight="1" s="162"/>
    <row r="860" ht="15.75" customHeight="1" s="162"/>
    <row r="861" ht="15.75" customHeight="1" s="162"/>
    <row r="862" ht="15.75" customHeight="1" s="162"/>
    <row r="863" ht="15.75" customHeight="1" s="162"/>
    <row r="864" ht="15.75" customHeight="1" s="162"/>
    <row r="865" ht="15.75" customHeight="1" s="162"/>
    <row r="866" ht="15.75" customHeight="1" s="162"/>
    <row r="867" ht="15.75" customHeight="1" s="162"/>
    <row r="868" ht="15.75" customHeight="1" s="162"/>
    <row r="869" ht="15.75" customHeight="1" s="162"/>
    <row r="870" ht="15.75" customHeight="1" s="162"/>
    <row r="871" ht="15.75" customHeight="1" s="162"/>
    <row r="872" ht="15.75" customHeight="1" s="162"/>
    <row r="873" ht="15.75" customHeight="1" s="162"/>
    <row r="874" ht="15.75" customHeight="1" s="162"/>
    <row r="875" ht="15.75" customHeight="1" s="162"/>
    <row r="876" ht="15.75" customHeight="1" s="162"/>
    <row r="877" ht="15.75" customHeight="1" s="162"/>
    <row r="878" ht="15.75" customHeight="1" s="162"/>
    <row r="879" ht="15.75" customHeight="1" s="162"/>
    <row r="880" ht="15.75" customHeight="1" s="162"/>
    <row r="881" ht="15.75" customHeight="1" s="162"/>
    <row r="882" ht="15.75" customHeight="1" s="162"/>
    <row r="883" ht="15.75" customHeight="1" s="162"/>
    <row r="884" ht="15.75" customHeight="1" s="162"/>
    <row r="885" ht="15.75" customHeight="1" s="162"/>
    <row r="886" ht="15.75" customHeight="1" s="162"/>
    <row r="887" ht="15.75" customHeight="1" s="162"/>
    <row r="888" ht="15.75" customHeight="1" s="162"/>
    <row r="889" ht="15.75" customHeight="1" s="162"/>
    <row r="890" ht="15.75" customHeight="1" s="162"/>
    <row r="891" ht="15.75" customHeight="1" s="162"/>
    <row r="892" ht="15.75" customHeight="1" s="162"/>
    <row r="893" ht="15.75" customHeight="1" s="162"/>
    <row r="894" ht="15.75" customHeight="1" s="162"/>
    <row r="895" ht="15.75" customHeight="1" s="162"/>
    <row r="896" ht="15.75" customHeight="1" s="162"/>
    <row r="897" ht="15.75" customHeight="1" s="162"/>
    <row r="898" ht="15.75" customHeight="1" s="162"/>
    <row r="899" ht="15.75" customHeight="1" s="162"/>
    <row r="900" ht="15.75" customHeight="1" s="162"/>
    <row r="901" ht="15.75" customHeight="1" s="162"/>
    <row r="902" ht="15.75" customHeight="1" s="162"/>
    <row r="903" ht="15.75" customHeight="1" s="162"/>
    <row r="904" ht="15.75" customHeight="1" s="162"/>
    <row r="905" ht="15.75" customHeight="1" s="162"/>
    <row r="906" ht="15.75" customHeight="1" s="162"/>
    <row r="907" ht="15.75" customHeight="1" s="162"/>
    <row r="908" ht="15.75" customHeight="1" s="162"/>
    <row r="909" ht="15.75" customHeight="1" s="162"/>
    <row r="910" ht="15.75" customHeight="1" s="162"/>
    <row r="911" ht="15.75" customHeight="1" s="162"/>
    <row r="912" ht="15.75" customHeight="1" s="162"/>
    <row r="913" ht="15.75" customHeight="1" s="162"/>
    <row r="914" ht="15.75" customHeight="1" s="162"/>
    <row r="915" ht="15.75" customHeight="1" s="162"/>
    <row r="916" ht="15.75" customHeight="1" s="162"/>
    <row r="917" ht="15.75" customHeight="1" s="162"/>
    <row r="918" ht="15.75" customHeight="1" s="162"/>
    <row r="919" ht="15.75" customHeight="1" s="162"/>
    <row r="920" ht="15.75" customHeight="1" s="162"/>
    <row r="921" ht="15.75" customHeight="1" s="162"/>
    <row r="922" ht="15.75" customHeight="1" s="162"/>
    <row r="923" ht="15.75" customHeight="1" s="162"/>
    <row r="924" ht="15.75" customHeight="1" s="162"/>
    <row r="925" ht="15.75" customHeight="1" s="162"/>
    <row r="926" ht="15.75" customHeight="1" s="162"/>
    <row r="927" ht="15.75" customHeight="1" s="162"/>
    <row r="928" ht="15.75" customHeight="1" s="162"/>
    <row r="929" ht="15.75" customHeight="1" s="162"/>
    <row r="930" ht="15.75" customHeight="1" s="162"/>
    <row r="931" ht="15.75" customHeight="1" s="162"/>
    <row r="932" ht="15.75" customHeight="1" s="162"/>
    <row r="933" ht="15.75" customHeight="1" s="162"/>
    <row r="934" ht="15.75" customHeight="1" s="162"/>
    <row r="935" ht="15.75" customHeight="1" s="162"/>
    <row r="936" ht="15.75" customHeight="1" s="162"/>
    <row r="937" ht="15.75" customHeight="1" s="162"/>
    <row r="938" ht="15.75" customHeight="1" s="162"/>
    <row r="939" ht="15.75" customHeight="1" s="162"/>
    <row r="940" ht="15.75" customHeight="1" s="162"/>
    <row r="941" ht="15.75" customHeight="1" s="162"/>
    <row r="942" ht="15.75" customHeight="1" s="162"/>
    <row r="943" ht="15.75" customHeight="1" s="162"/>
    <row r="944" ht="15.75" customHeight="1" s="162"/>
    <row r="945" ht="15.75" customHeight="1" s="162"/>
    <row r="946" ht="15.75" customHeight="1" s="162"/>
    <row r="947" ht="15.75" customHeight="1" s="162"/>
    <row r="948" ht="15.75" customHeight="1" s="162"/>
    <row r="949" ht="15.75" customHeight="1" s="162"/>
    <row r="950" ht="15.75" customHeight="1" s="162"/>
    <row r="951" ht="15.75" customHeight="1" s="162"/>
    <row r="952" ht="15.75" customHeight="1" s="162"/>
    <row r="953" ht="15.75" customHeight="1" s="162"/>
    <row r="954" ht="15.75" customHeight="1" s="162"/>
    <row r="955" ht="15.75" customHeight="1" s="162"/>
    <row r="956" ht="15.75" customHeight="1" s="162"/>
    <row r="957" ht="15.75" customHeight="1" s="162"/>
    <row r="958" ht="15.75" customHeight="1" s="162"/>
    <row r="959" ht="15.75" customHeight="1" s="162"/>
    <row r="960" ht="15.75" customHeight="1" s="162"/>
    <row r="961" ht="15.75" customHeight="1" s="162"/>
    <row r="962" ht="15.75" customHeight="1" s="162"/>
    <row r="963" ht="15.75" customHeight="1" s="162"/>
    <row r="964" ht="15.75" customHeight="1" s="162"/>
    <row r="965" ht="15.75" customHeight="1" s="162"/>
    <row r="966" ht="15.75" customHeight="1" s="162"/>
    <row r="967" ht="15.75" customHeight="1" s="162"/>
    <row r="968" ht="15.75" customHeight="1" s="162"/>
    <row r="969" ht="15.75" customHeight="1" s="162"/>
    <row r="970" ht="15.75" customHeight="1" s="162"/>
    <row r="971" ht="15.75" customHeight="1" s="162"/>
    <row r="972" ht="15.75" customHeight="1" s="162"/>
    <row r="973" ht="15.75" customHeight="1" s="162"/>
    <row r="974" ht="15.75" customHeight="1" s="162"/>
    <row r="975" ht="15.75" customHeight="1" s="162"/>
    <row r="976" ht="15.75" customHeight="1" s="162"/>
    <row r="977" ht="15.75" customHeight="1" s="162"/>
    <row r="978" ht="15.75" customHeight="1" s="162"/>
    <row r="979" ht="15.75" customHeight="1" s="162"/>
    <row r="980" ht="15.75" customHeight="1" s="162"/>
    <row r="981" ht="15.75" customHeight="1" s="162"/>
    <row r="982" ht="15.75" customHeight="1" s="162"/>
    <row r="983" ht="15.75" customHeight="1" s="162"/>
    <row r="984" ht="15.75" customHeight="1" s="162"/>
    <row r="985" ht="15.75" customHeight="1" s="162"/>
    <row r="986" ht="15.75" customHeight="1" s="162"/>
    <row r="987" ht="15.75" customHeight="1" s="162"/>
    <row r="988" ht="15.75" customHeight="1" s="162"/>
    <row r="989" ht="15.75" customHeight="1" s="162"/>
    <row r="990" ht="15.75" customHeight="1" s="162"/>
    <row r="991" ht="15.75" customHeight="1" s="162"/>
    <row r="992" ht="15.75" customHeight="1" s="162"/>
    <row r="993" ht="15.75" customHeight="1" s="162"/>
    <row r="994" ht="15.75" customHeight="1" s="162"/>
    <row r="995" ht="15.75" customHeight="1" s="162"/>
    <row r="996" ht="15.75" customHeight="1" s="162"/>
    <row r="997" ht="15.75" customHeight="1" s="162"/>
    <row r="998" ht="15.75" customHeight="1" s="162"/>
    <row r="999" ht="15.75" customHeight="1" s="162"/>
    <row r="1000" ht="15.75" customHeight="1" s="162"/>
  </sheetData>
  <mergeCells count="3">
    <mergeCell ref="B3:E3"/>
    <mergeCell ref="B2:E2"/>
    <mergeCell ref="B4:E4"/>
  </mergeCells>
  <dataValidations count="1">
    <dataValidation sqref="F12:F22 G2:G3 G9 G23:G147 I12:I22 J2:J3 J9 J23:J147 L12:L22 M2:M3 M9 M23:M147" showDropDown="0" showInputMessage="0" showErrorMessage="1" allowBlank="1" type="list">
      <formula1>$R$2:$R$5</formula1>
    </dataValidation>
  </dataValidations>
  <pageMargins left="0.7479166666666667" right="0.25" top="0.75" bottom="0.9840277777777777" header="0" footer="0"/>
  <pageSetup orientation="landscape" paperSize="9"/>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style="162" min="1" max="1"/>
    <col width="30" customWidth="1" style="162" min="2" max="2"/>
    <col width="50" customWidth="1" style="162" min="3" max="3"/>
    <col width="40" customWidth="1" style="162" min="4" max="4"/>
    <col width="30" customWidth="1" style="162" min="5" max="5"/>
  </cols>
  <sheetData>
    <row r="1">
      <c r="A1" s="179" t="inlineStr">
        <is>
          <t>Test Case ID</t>
        </is>
      </c>
      <c r="B1" s="179" t="inlineStr">
        <is>
          <t>Test Case Description</t>
        </is>
      </c>
      <c r="C1" s="179" t="inlineStr">
        <is>
          <t>Test Case Procedure</t>
        </is>
      </c>
      <c r="D1" s="179" t="inlineStr">
        <is>
          <t>Expected Results</t>
        </is>
      </c>
      <c r="E1" s="179" t="inlineStr">
        <is>
          <t>Pre-Conditions</t>
        </is>
      </c>
    </row>
    <row r="2">
      <c r="A2" s="180" t="inlineStr">
        <is>
          <t>TC_UC27d_01</t>
        </is>
      </c>
      <c r="B2" s="180" t="inlineStr">
        <is>
          <t>Cancel session successfully by Nurse/Staff</t>
        </is>
      </c>
      <c r="C2" s="180" t="inlineStr">
        <is>
          <t>1. Login as Nurse/Staff
2. View Care Queue
3. Select a pending session
4. Click 'Cancel'
5. Confirm cancellation</t>
        </is>
      </c>
      <c r="D2" s="180" t="inlineStr">
        <is>
          <t>Session is marked as CANCELLED
Success message 'Huỷ buổi khám thành công'</t>
        </is>
      </c>
      <c r="E2" s="180" t="inlineStr">
        <is>
          <t>Session must be in pending/booked state</t>
        </is>
      </c>
    </row>
    <row r="3">
      <c r="A3" s="180" t="inlineStr">
        <is>
          <t>TC_UC27d_02</t>
        </is>
      </c>
      <c r="B3" s="180" t="inlineStr">
        <is>
          <t>Cancel session successfully by Manager</t>
        </is>
      </c>
      <c r="C3" s="180" t="inlineStr">
        <is>
          <t>1. Login as Manager
2. Navigate to All Care Sessions
3. Select a session
4. Click 'Cancel'
5. Confirm cancellation</t>
        </is>
      </c>
      <c r="D3" s="180" t="inlineStr">
        <is>
          <t>Session is marked as CANCELLED
Success message 'Huỷ buổi khám thành công'</t>
        </is>
      </c>
      <c r="E3" s="180" t="inlineStr">
        <is>
          <t>Session must exist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0" customWidth="1" style="162" min="1" max="1"/>
    <col width="30" customWidth="1" style="162" min="2" max="2"/>
    <col width="50" customWidth="1" style="162" min="3" max="3"/>
    <col width="40" customWidth="1" style="162" min="4" max="4"/>
    <col width="30" customWidth="1" style="162" min="5" max="5"/>
  </cols>
  <sheetData>
    <row r="1">
      <c r="A1" s="179" t="inlineStr">
        <is>
          <t>Test Case ID</t>
        </is>
      </c>
      <c r="B1" s="179" t="inlineStr">
        <is>
          <t>Test Case Description</t>
        </is>
      </c>
      <c r="C1" s="179" t="inlineStr">
        <is>
          <t>Test Case Procedure</t>
        </is>
      </c>
      <c r="D1" s="179" t="inlineStr">
        <is>
          <t>Expected Results</t>
        </is>
      </c>
      <c r="E1" s="179" t="inlineStr">
        <is>
          <t>Pre-Conditions</t>
        </is>
      </c>
    </row>
    <row r="2">
      <c r="A2" s="180" t="inlineStr">
        <is>
          <t>TC_UC38_01</t>
        </is>
      </c>
      <c r="B2" s="180" t="inlineStr">
        <is>
          <t>View Fabrication Queue</t>
        </is>
      </c>
      <c r="C2" s="180" t="inlineStr">
        <is>
          <t>1. Login as Optician/Staff
2. Navigate to Eyeglass Fabrication Queue</t>
        </is>
      </c>
      <c r="D2" s="180" t="inlineStr">
        <is>
          <t>List of pending eyeglass orders is displayed
API returns 'Lấy hàng đợi gia công kính thành công'</t>
        </is>
      </c>
      <c r="E2" s="180" t="inlineStr">
        <is>
          <t>Orders must exist in fabrication queue</t>
        </is>
      </c>
    </row>
    <row r="3">
      <c r="A3" s="180" t="inlineStr">
        <is>
          <t>TC_UC38_02</t>
        </is>
      </c>
      <c r="B3" s="180" t="inlineStr">
        <is>
          <t>Start Fabrication process</t>
        </is>
      </c>
      <c r="C3" s="180" t="inlineStr">
        <is>
          <t>1. Login as Optician
2. Go to Fabrication Queue
3. Select an order
4. Click 'Start Fabrication'</t>
        </is>
      </c>
      <c r="D3" s="180" t="inlineStr">
        <is>
          <t>Order status changes
Success message 'Đã bắt đầu gia công đơn kính'</t>
        </is>
      </c>
      <c r="E3" s="180" t="inlineStr">
        <is>
          <t>Order must be in queue</t>
        </is>
      </c>
    </row>
    <row r="4">
      <c r="A4" s="180" t="inlineStr">
        <is>
          <t>TC_UC38_03</t>
        </is>
      </c>
      <c r="B4" s="180" t="inlineStr">
        <is>
          <t>Complete Fabrication process</t>
        </is>
      </c>
      <c r="C4" s="180" t="inlineStr">
        <is>
          <t>1. Login as Optician
2. Select an order in fabrication
3. Click 'Complete Fabrication'</t>
        </is>
      </c>
      <c r="D4" s="180" t="inlineStr">
        <is>
          <t>Order status changes
Success message 'Đã hoàn tất gia công đơn kính'</t>
        </is>
      </c>
      <c r="E4" s="180" t="inlineStr">
        <is>
          <t>Order must be in fabrication state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style="162" min="1" max="1"/>
    <col width="30" customWidth="1" style="162" min="2" max="2"/>
    <col width="50" customWidth="1" style="162" min="3" max="3"/>
    <col width="40" customWidth="1" style="162" min="4" max="4"/>
    <col width="30" customWidth="1" style="162" min="5" max="5"/>
  </cols>
  <sheetData>
    <row r="1">
      <c r="A1" s="179" t="inlineStr">
        <is>
          <t>Test Case ID</t>
        </is>
      </c>
      <c r="B1" s="179" t="inlineStr">
        <is>
          <t>Test Case Description</t>
        </is>
      </c>
      <c r="C1" s="179" t="inlineStr">
        <is>
          <t>Test Case Procedure</t>
        </is>
      </c>
      <c r="D1" s="179" t="inlineStr">
        <is>
          <t>Expected Results</t>
        </is>
      </c>
      <c r="E1" s="179" t="inlineStr">
        <is>
          <t>Pre-Conditions</t>
        </is>
      </c>
    </row>
    <row r="2">
      <c r="A2" s="180" t="inlineStr">
        <is>
          <t>TC_UC55_01</t>
        </is>
      </c>
      <c r="B2" s="180" t="inlineStr">
        <is>
          <t>Create a new room</t>
        </is>
      </c>
      <c r="C2" s="180" t="inlineStr">
        <is>
          <t>1. Login as Manager
2. Navigate to Room Management
3. Click 'Add New Room'
4. Fill in room details (Name, Category)
5. Submit</t>
        </is>
      </c>
      <c r="D2" s="180" t="inlineStr">
        <is>
          <t>Room is successfully created</t>
        </is>
      </c>
      <c r="E2" s="180" t="inlineStr">
        <is>
          <t>Must be logged in as Manager</t>
        </is>
      </c>
    </row>
    <row r="3">
      <c r="A3" s="180" t="inlineStr">
        <is>
          <t>TC_UC55_02</t>
        </is>
      </c>
      <c r="B3" s="180" t="inlineStr">
        <is>
          <t>Update an existing room</t>
        </is>
      </c>
      <c r="C3" s="180" t="inlineStr">
        <is>
          <t>1. Login as Manager
2. Select an existing room
3. Edit details
4. Submit</t>
        </is>
      </c>
      <c r="D3" s="180" t="inlineStr">
        <is>
          <t>Room details are updated successfully</t>
        </is>
      </c>
      <c r="E3" s="180" t="inlineStr">
        <is>
          <t>Room must exist</t>
        </is>
      </c>
    </row>
    <row r="4">
      <c r="A4" s="180" t="inlineStr">
        <is>
          <t>TC_UC55_03</t>
        </is>
      </c>
      <c r="B4" s="180" t="inlineStr">
        <is>
          <t>Deactivate a room (soft delete)</t>
        </is>
      </c>
      <c r="C4" s="180" t="inlineStr">
        <is>
          <t>1. Login as Manager
2. Select an active room
3. Click 'Deactivate'</t>
        </is>
      </c>
      <c r="D4" s="180" t="inlineStr">
        <is>
          <t>Room status becomes inactive (soft delete)
Room is hidden from active room lists</t>
        </is>
      </c>
      <c r="E4" s="180" t="inlineStr">
        <is>
          <t>Room must be active</t>
        </is>
      </c>
    </row>
    <row r="5">
      <c r="A5" s="180" t="inlineStr">
        <is>
          <t>TC_UC55_04</t>
        </is>
      </c>
      <c r="B5" s="180" t="inlineStr">
        <is>
          <t>Reactivate a room</t>
        </is>
      </c>
      <c r="C5" s="180" t="inlineStr">
        <is>
          <t>1. Login as Manager
2. Select an inactive room
3. Click 'Reactivate'</t>
        </is>
      </c>
      <c r="D5" s="180" t="inlineStr">
        <is>
          <t>Room status becomes active</t>
        </is>
      </c>
      <c r="E5" s="180" t="inlineStr">
        <is>
          <t>Room must be inactive</t>
        </is>
      </c>
    </row>
    <row r="6">
      <c r="A6" s="180" t="inlineStr">
        <is>
          <t>TC_UC55_05</t>
        </is>
      </c>
      <c r="B6" s="180" t="inlineStr">
        <is>
          <t>View rooms by category</t>
        </is>
      </c>
      <c r="C6" s="180" t="inlineStr">
        <is>
          <t>1. Login as Manager
2. Navigate to Room Management
3. Filter by specific category (e.g., EXAM)</t>
        </is>
      </c>
      <c r="D6" s="180" t="inlineStr">
        <is>
          <t>Only rooms belonging to the selected category are displayed</t>
        </is>
      </c>
      <c r="E6" s="180" t="inlineStr">
        <is>
          <t>Rooms of that category must exist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0" customWidth="1" style="162" min="1" max="1"/>
    <col width="30" customWidth="1" style="162" min="2" max="2"/>
    <col width="50" customWidth="1" style="162" min="3" max="3"/>
    <col width="40" customWidth="1" style="162" min="4" max="4"/>
    <col width="30" customWidth="1" style="162" min="5" max="5"/>
  </cols>
  <sheetData>
    <row r="1">
      <c r="A1" s="179" t="inlineStr">
        <is>
          <t>Test Case ID</t>
        </is>
      </c>
      <c r="B1" s="179" t="inlineStr">
        <is>
          <t>Test Case Description</t>
        </is>
      </c>
      <c r="C1" s="179" t="inlineStr">
        <is>
          <t>Test Case Procedure</t>
        </is>
      </c>
      <c r="D1" s="179" t="inlineStr">
        <is>
          <t>Expected Results</t>
        </is>
      </c>
      <c r="E1" s="179" t="inlineStr">
        <is>
          <t>Pre-Conditions</t>
        </is>
      </c>
    </row>
    <row r="2">
      <c r="A2" s="180" t="inlineStr">
        <is>
          <t>TC_UC56_01</t>
        </is>
      </c>
      <c r="B2" s="180" t="inlineStr">
        <is>
          <t>Assign a staff to a room</t>
        </is>
      </c>
      <c r="C2" s="180" t="inlineStr">
        <is>
          <t>1. Login as Manager
2. Navigate to Staff Room Roster
3. Select a date
4. Select a staff member and a room
5. Submit assignment</t>
        </is>
      </c>
      <c r="D2" s="180" t="inlineStr">
        <is>
          <t>Staff is successfully assigned to the room for the specified date</t>
        </is>
      </c>
      <c r="E2" s="180" t="inlineStr">
        <is>
          <t>Staff and Room must exist and be active</t>
        </is>
      </c>
    </row>
    <row r="3">
      <c r="A3" s="180" t="inlineStr">
        <is>
          <t>TC_UC56_02</t>
        </is>
      </c>
      <c r="B3" s="180" t="inlineStr">
        <is>
          <t>View Staff Roster for a specific date</t>
        </is>
      </c>
      <c r="C3" s="180" t="inlineStr">
        <is>
          <t>1. Login as Manager
2. Navigate to Staff Roster
3. Select a specific date</t>
        </is>
      </c>
      <c r="D3" s="180" t="inlineStr">
        <is>
          <t>List of staff on duty and their assigned rooms for that date is displayed</t>
        </is>
      </c>
      <c r="E3" s="180" t="inlineStr">
        <is>
          <t>Assignments must exist for the date</t>
        </is>
      </c>
    </row>
    <row r="4">
      <c r="A4" s="180" t="inlineStr">
        <is>
          <t>TC_UC56_03</t>
        </is>
      </c>
      <c r="B4" s="180" t="inlineStr">
        <is>
          <t>Resolve Room for Staff (Read-Only)</t>
        </is>
      </c>
      <c r="C4" s="180" t="inlineStr">
        <is>
          <t>1. Login as Receptionist/Doctor
2. Trigger a check-in or booking flow requiring room resolution
3. System calls resolve room endpoint</t>
        </is>
      </c>
      <c r="D4" s="180" t="inlineStr">
        <is>
          <t>System successfully fetches the resolved room for the staff without allowing assignment changes</t>
        </is>
      </c>
      <c r="E4" s="180" t="inlineStr">
        <is>
          <t>Staff must have an assigned room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2026-07-23T18:57:18Z</dcterms:created>
  <dcterms:modified xmlns:dcterms="http://purl.org/dc/terms/" xmlns:xsi="http://www.w3.org/2001/XMLSchema-instance" xsi:type="dcterms:W3CDTF">2026-07-23T18:57:19Z</dcterms:modified>
</cp:coreProperties>
</file>